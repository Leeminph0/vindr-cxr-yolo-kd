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CDD5ED-DE26-4D46-B0B1-B6642DBDA2A4}" xr6:coauthVersionLast="47" xr6:coauthVersionMax="47" xr10:uidLastSave="{00000000-0000-0000-0000-000000000000}"/>
  <bookViews>
    <workbookView xWindow="-120" yWindow="-120" windowWidth="29040" windowHeight="16440" firstSheet="1" activeTab="6" xr2:uid="{00000000-000D-0000-FFFF-FFFF00000000}"/>
  </bookViews>
  <sheets>
    <sheet name="01_MODELS" sheetId="1" r:id="rId1"/>
    <sheet name="02_RUNS" sheetId="2" r:id="rId2"/>
    <sheet name="03_SUMMARY" sheetId="3" r:id="rId3"/>
    <sheet name="04_KD_COMPARE" sheetId="4" state="hidden" r:id="rId4"/>
    <sheet name="05_PER_CLASS" sheetId="5" r:id="rId5"/>
    <sheet name="00_README" sheetId="6" state="hidden" r:id="rId6"/>
    <sheet name="06_SLIDE_TABLE" sheetId="7" r:id="rId7"/>
    <sheet name="07_NEW_CSV_RUNS" sheetId="8" r:id="rId8"/>
    <sheet name="08_YOLO11n_CLASS_SUMMARY" sheetId="9" r:id="rId9"/>
    <sheet name="09_YOLO11n_SEEDS" sheetId="10" r:id="rId10"/>
    <sheet name="10_YOLO11n_5SEED_SUMMARY" sheetId="11" r:id="rId11"/>
    <sheet name="11_YOLO11n_CLASS_5SEEDS" sheetId="12" r:id="rId12"/>
    <sheet name="12_SEED_AUDIT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R23" i="4"/>
  <c r="O23" i="4"/>
  <c r="L23" i="4"/>
  <c r="J23" i="4"/>
  <c r="R22" i="4"/>
  <c r="O22" i="4"/>
  <c r="L22" i="4"/>
  <c r="J22" i="4"/>
  <c r="R21" i="4"/>
  <c r="O21" i="4"/>
  <c r="L21" i="4"/>
  <c r="J21" i="4"/>
  <c r="R20" i="4"/>
  <c r="O20" i="4"/>
  <c r="L20" i="4"/>
  <c r="J20" i="4"/>
  <c r="R19" i="4"/>
  <c r="O19" i="4"/>
  <c r="L19" i="4"/>
  <c r="J19" i="4"/>
  <c r="R18" i="4"/>
  <c r="O18" i="4"/>
  <c r="L18" i="4"/>
  <c r="J18" i="4"/>
  <c r="R17" i="4"/>
  <c r="O17" i="4"/>
  <c r="L17" i="4"/>
  <c r="J17" i="4"/>
  <c r="R16" i="4"/>
  <c r="O16" i="4"/>
  <c r="L16" i="4"/>
  <c r="J16" i="4"/>
  <c r="R15" i="4"/>
  <c r="O15" i="4"/>
  <c r="L15" i="4"/>
  <c r="J15" i="4"/>
  <c r="R14" i="4"/>
  <c r="O14" i="4"/>
  <c r="L14" i="4"/>
  <c r="J14" i="4"/>
  <c r="R13" i="4"/>
  <c r="O13" i="4"/>
  <c r="L13" i="4"/>
  <c r="J13" i="4"/>
  <c r="R12" i="4"/>
  <c r="O12" i="4"/>
  <c r="L12" i="4"/>
  <c r="J12" i="4"/>
  <c r="R11" i="4"/>
  <c r="O11" i="4"/>
  <c r="L11" i="4"/>
  <c r="J11" i="4"/>
  <c r="R10" i="4"/>
  <c r="O10" i="4"/>
  <c r="L10" i="4"/>
  <c r="J10" i="4"/>
  <c r="R9" i="4"/>
  <c r="O9" i="4"/>
  <c r="L9" i="4"/>
  <c r="J9" i="4"/>
  <c r="R8" i="4"/>
  <c r="O8" i="4"/>
  <c r="L8" i="4"/>
  <c r="J8" i="4"/>
  <c r="R7" i="4"/>
  <c r="O7" i="4"/>
  <c r="L7" i="4"/>
  <c r="J7" i="4"/>
  <c r="R6" i="4"/>
  <c r="O6" i="4"/>
  <c r="L6" i="4"/>
  <c r="J6" i="4"/>
  <c r="R5" i="4"/>
  <c r="O5" i="4"/>
  <c r="L5" i="4"/>
  <c r="J5" i="4"/>
  <c r="R4" i="4"/>
  <c r="O4" i="4"/>
  <c r="L4" i="4"/>
  <c r="J4" i="4"/>
  <c r="M12" i="3"/>
  <c r="M11" i="3"/>
  <c r="M10" i="3"/>
  <c r="M5" i="3"/>
  <c r="L5" i="3"/>
  <c r="K5" i="3"/>
  <c r="I5" i="3"/>
  <c r="H5" i="3"/>
  <c r="G5" i="3"/>
  <c r="F5" i="3"/>
  <c r="E5" i="3"/>
  <c r="D5" i="3"/>
  <c r="B5" i="3"/>
  <c r="L4" i="3"/>
  <c r="K4" i="3"/>
  <c r="C4" i="3"/>
  <c r="B4" i="3"/>
  <c r="U9" i="2"/>
  <c r="N9" i="2"/>
  <c r="J5" i="3" s="1"/>
  <c r="U8" i="2"/>
  <c r="U7" i="2"/>
  <c r="U6" i="2"/>
  <c r="U5" i="2"/>
  <c r="U4" i="2"/>
  <c r="N4" i="3" l="1"/>
</calcChain>
</file>

<file path=xl/sharedStrings.xml><?xml version="1.0" encoding="utf-8"?>
<sst xmlns="http://schemas.openxmlformats.org/spreadsheetml/2006/main" count="1119" uniqueCount="297">
  <si>
    <t>MODEL CATALOG | papers, code &amp; configurations</t>
  </si>
  <si>
    <t>Model ID</t>
  </si>
  <si>
    <t>Role</t>
  </si>
  <si>
    <t>Family/architecture</t>
  </si>
  <si>
    <t>Paper title / model source</t>
  </si>
  <si>
    <t>Paper DOI / URL</t>
  </si>
  <si>
    <t>Code URL</t>
  </si>
  <si>
    <t>Weights / configuration</t>
  </si>
  <si>
    <t>Expected epochs</t>
  </si>
  <si>
    <t>YOLO26n</t>
  </si>
  <si>
    <t>Student</t>
  </si>
  <si>
    <t>YOLO26</t>
  </si>
  <si>
    <t>Ultralytics YOLO26 documentation</t>
  </si>
  <si>
    <t>https://docs.ultralytics.com/models/yolo26/</t>
  </si>
  <si>
    <t>https://github.com/ultralytics/ultralytics</t>
  </si>
  <si>
    <t>YOLOv11-MFF</t>
  </si>
  <si>
    <t>YOLO11 + custom MFF</t>
  </si>
  <si>
    <t>https://github.com/guanli-nangong/chest-X-ray-Anomaly-detection</t>
  </si>
  <si>
    <t>YOLO11m</t>
  </si>
  <si>
    <t>Teacher candidate</t>
  </si>
  <si>
    <t>YOLO11</t>
  </si>
  <si>
    <t>Ultralytics YOLO11 documentation</t>
  </si>
  <si>
    <t>https://docs.ultralytics.com/models/yolo11/</t>
  </si>
  <si>
    <t>YOLO11n</t>
  </si>
  <si>
    <t>Student / Baseline</t>
  </si>
  <si>
    <t>YOLO26s</t>
  </si>
  <si>
    <t>YOLOv8s</t>
  </si>
  <si>
    <t>YOLOv8</t>
  </si>
  <si>
    <t>Ultralytics YOLOv8 documentation</t>
  </si>
  <si>
    <t>https://docs.ultralytics.com/models/yolov8/</t>
  </si>
  <si>
    <t>RUN LOG | enter one record per model × seed</t>
  </si>
  <si>
    <t>Run ID</t>
  </si>
  <si>
    <t>Seed</t>
  </si>
  <si>
    <t>Status</t>
  </si>
  <si>
    <t>Dataset / split</t>
  </si>
  <si>
    <t>Evaluation split</t>
  </si>
  <si>
    <t>Epoch target</t>
  </si>
  <si>
    <t>Image size</t>
  </si>
  <si>
    <t>Train hours</t>
  </si>
  <si>
    <t>Train sec (CSV sum)</t>
  </si>
  <si>
    <t>Precision (B)</t>
  </si>
  <si>
    <t>Recall (B)</t>
  </si>
  <si>
    <t>F1 (B)</t>
  </si>
  <si>
    <t>mAP50 (B)</t>
  </si>
  <si>
    <t>mAP50-95 (B)</t>
  </si>
  <si>
    <t>mAP40 official</t>
  </si>
  <si>
    <t>Params (M)</t>
  </si>
  <si>
    <t>GFLOPs</t>
  </si>
  <si>
    <t>Latency ms/img</t>
  </si>
  <si>
    <t>FPS</t>
  </si>
  <si>
    <t>Checkpoint size MB</t>
  </si>
  <si>
    <t>Best epoch</t>
  </si>
  <si>
    <t>Test mAP50</t>
  </si>
  <si>
    <t>Test mAP50-95</t>
  </si>
  <si>
    <t>best.pt path</t>
  </si>
  <si>
    <t>last.pt path</t>
  </si>
  <si>
    <t>results.csv path</t>
  </si>
  <si>
    <t>config / args.yaml</t>
  </si>
  <si>
    <t>Ultralytics version</t>
  </si>
  <si>
    <t>PyTorch version</t>
  </si>
  <si>
    <t>Git commit</t>
  </si>
  <si>
    <t>Notes</t>
  </si>
  <si>
    <t>YOLO26n_s0</t>
  </si>
  <si>
    <t>Completed</t>
  </si>
  <si>
    <t>VinDr-CXR; verify actual split</t>
  </si>
  <si>
    <t>Validation</t>
  </si>
  <si>
    <t>results_26n_0.csv</t>
  </si>
  <si>
    <t>Metrics updated from independent 5-seed validation CSV; best-epoch metrics in training results.csv may differ. Training hours still estimated from logs.</t>
  </si>
  <si>
    <t>YOLO26n_s1</t>
  </si>
  <si>
    <t>results26n_1.csv</t>
  </si>
  <si>
    <t>YOLO26n_s2</t>
  </si>
  <si>
    <t>results26n_2.csv</t>
  </si>
  <si>
    <t>YOLO26n_s3</t>
  </si>
  <si>
    <t>results26n_3.csv</t>
  </si>
  <si>
    <t>YOLO26n_s4</t>
  </si>
  <si>
    <t>results26n_4.csv</t>
  </si>
  <si>
    <t>YOLOv11-MFF_s4</t>
  </si>
  <si>
    <t>results_11mff.csv</t>
  </si>
  <si>
    <t>From best validation epoch by mAP50-95; 0 duplicated CSV epochs consolidated; train time estimate from CSV, NOT measured wall clock.</t>
  </si>
  <si>
    <t>YOLO11m_s0</t>
  </si>
  <si>
    <t>VinDr-CXR; split to verify</t>
  </si>
  <si>
    <t>Training-log validation</t>
  </si>
  <si>
    <t>YOLO26s_s0</t>
  </si>
  <si>
    <t>YOLOv8s_s0</t>
  </si>
  <si>
    <t>YOLO11m_unlabeled_yolo11m</t>
  </si>
  <si>
    <t>VinDr-CXR; verify split</t>
  </si>
  <si>
    <t>yolo11m.csv</t>
  </si>
  <si>
    <t>New CSV: seed/checkpoint not identified; best epoch by mAP50-95; elapsed time is cumulative CSV time (not separately measured wall clock). May overlap previous YOLO26n results; EXCLUDED from 5-seed mean.</t>
  </si>
  <si>
    <t>YOLO11n_unlabeled_11n</t>
  </si>
  <si>
    <t>11n.csv</t>
  </si>
  <si>
    <t>YOLO26n_unlabeled_26n</t>
  </si>
  <si>
    <t>26n.csv</t>
  </si>
  <si>
    <t>YOLO26s_unlabeled_26s</t>
  </si>
  <si>
    <t>26s.csv</t>
  </si>
  <si>
    <t>YOLOv8s_unlabeled_v8s</t>
  </si>
  <si>
    <t>v8s.csv</t>
  </si>
  <si>
    <t>YOLO11n_s1</t>
  </si>
  <si>
    <t>VinDr-CXR; split verify</t>
  </si>
  <si>
    <t>Validation (as supplied)</t>
  </si>
  <si>
    <t>YOLO11n_s2</t>
  </si>
  <si>
    <t>YOLO11n_s3</t>
  </si>
  <si>
    <t>YOLO11n_s4</t>
  </si>
  <si>
    <t>YOLO11n_s0</t>
  </si>
  <si>
    <t>MODEL COMPARISON | validation metrics across seeds</t>
  </si>
  <si>
    <t>Runs completed</t>
  </si>
  <si>
    <t>Seeds target</t>
  </si>
  <si>
    <t>mAP50 mean</t>
  </si>
  <si>
    <t>mAP50 SD</t>
  </si>
  <si>
    <t>mAP50-95 mean</t>
  </si>
  <si>
    <t>mAP50-95 SD</t>
  </si>
  <si>
    <t>Precision mean</t>
  </si>
  <si>
    <t>Recall mean</t>
  </si>
  <si>
    <t>F1 mean</t>
  </si>
  <si>
    <t>Training h mean</t>
  </si>
  <si>
    <t>Total training h</t>
  </si>
  <si>
    <t>Best mAP50</t>
  </si>
  <si>
    <t>Confirmed separate 5-seed validation (0–4). New 26n.csv is NOT pooled: seed unknown; latest CSV mAP50-95=0.1621</t>
  </si>
  <si>
    <t>1 CSV; seed unknown</t>
  </si>
  <si>
    <t>Single uploaded training CSV; exclude from 5-seed comparison until seed and eval protocol verified.</t>
  </si>
  <si>
    <t>All 5 seeds evaluated</t>
  </si>
  <si>
    <t>YOLO11n seeds 0–4 from dedicated metrics files; train times unavailable; 11n.csv unassigned and excluded.</t>
  </si>
  <si>
    <t>KNOWLEDGE DISTILLATION | compare same evaluation protocol</t>
  </si>
  <si>
    <t>Experiment ID</t>
  </si>
  <si>
    <t>Teacher</t>
  </si>
  <si>
    <t>Student baseline</t>
  </si>
  <si>
    <t>Student + KD</t>
  </si>
  <si>
    <t>KD method</t>
  </si>
  <si>
    <t>Student mAP50 before</t>
  </si>
  <si>
    <t>Student mAP50 after</t>
  </si>
  <si>
    <t>Delta mAP50</t>
  </si>
  <si>
    <t>Teacher mAP50</t>
  </si>
  <si>
    <t>Retention vs teacher %</t>
  </si>
  <si>
    <t>Teacher params M</t>
  </si>
  <si>
    <t>Student params M</t>
  </si>
  <si>
    <t>Compression ×</t>
  </si>
  <si>
    <t>Student latency before ms</t>
  </si>
  <si>
    <t>Student latency after ms</t>
  </si>
  <si>
    <t>Speedup ×</t>
  </si>
  <si>
    <t>Paper / repo / checkpoint</t>
  </si>
  <si>
    <t>PER-CLASS AP | add rows by model, seed and evaluation split</t>
  </si>
  <si>
    <t>Model</t>
  </si>
  <si>
    <t>Class</t>
  </si>
  <si>
    <t>AP@0.5</t>
  </si>
  <si>
    <t>AP@0.4</t>
  </si>
  <si>
    <t>AP@0.5:0.95</t>
  </si>
  <si>
    <t>Support boxes</t>
  </si>
  <si>
    <t>Recall</t>
  </si>
  <si>
    <t>Precision</t>
  </si>
  <si>
    <t>Aortic enlargement</t>
  </si>
  <si>
    <t>From evaluation_yolo26n.7z; best.pt validation</t>
  </si>
  <si>
    <t>Atelectasis</t>
  </si>
  <si>
    <t>Calcification</t>
  </si>
  <si>
    <t>Cardiomegaly</t>
  </si>
  <si>
    <t>Consolidation</t>
  </si>
  <si>
    <t>ILD</t>
  </si>
  <si>
    <t>Infiltration</t>
  </si>
  <si>
    <t>Lung Opacity</t>
  </si>
  <si>
    <t>Nodule/Mass</t>
  </si>
  <si>
    <t>Other lesion</t>
  </si>
  <si>
    <t>Pleural effusion</t>
  </si>
  <si>
    <t>Pleural thickening</t>
  </si>
  <si>
    <t>Pneumothorax</t>
  </si>
  <si>
    <t>Pulmonary fibrosis</t>
  </si>
  <si>
    <t>From YOLO11n_Seed0_Metrics.xlsx</t>
  </si>
  <si>
    <t>evaluation_yolo26n/per_class_mean_std.csv</t>
  </si>
  <si>
    <t>Note: AP@0.4 and support boxes are unavailable in the uploaded evaluation CSV; no values imputed.</t>
  </si>
  <si>
    <t>YOLO11n_Seeds1_2_3_4_Full_Metrics.xlsx; class 0</t>
  </si>
  <si>
    <t>YOLO11n_Seeds1_2_3_4_Full_Metrics.xlsx; class 1</t>
  </si>
  <si>
    <t>YOLO11n_Seeds1_2_3_4_Full_Metrics.xlsx; class 2</t>
  </si>
  <si>
    <t>YOLO11n_Seeds1_2_3_4_Full_Metrics.xlsx; class 3</t>
  </si>
  <si>
    <t>YOLO11n_Seeds1_2_3_4_Full_Metrics.xlsx; class 4</t>
  </si>
  <si>
    <t>YOLO11n_Seeds1_2_3_4_Full_Metrics.xlsx; class 5</t>
  </si>
  <si>
    <t>YOLO11n_Seeds1_2_3_4_Full_Metrics.xlsx; class 6</t>
  </si>
  <si>
    <t>YOLO11n_Seeds1_2_3_4_Full_Metrics.xlsx; class 7</t>
  </si>
  <si>
    <t>YOLO11n_Seeds1_2_3_4_Full_Metrics.xlsx; class 8</t>
  </si>
  <si>
    <t>YOLO11n_Seeds1_2_3_4_Full_Metrics.xlsx; class 9</t>
  </si>
  <si>
    <t>YOLO11n_Seeds1_2_3_4_Full_Metrics.xlsx; class 10</t>
  </si>
  <si>
    <t>YOLO11n_Seeds1_2_3_4_Full_Metrics.xlsx; class 11</t>
  </si>
  <si>
    <t>YOLO11n_Seeds1_2_3_4_Full_Metrics.xlsx; class 12</t>
  </si>
  <si>
    <t>YOLO11n_Seeds1_2_3_4_Full_Metrics.xlsx; class 13</t>
  </si>
  <si>
    <t>VINDr-CXR | Experiment tracking workbook</t>
  </si>
  <si>
    <t>Sheet</t>
  </si>
  <si>
    <t>Mục đích / cách nhập</t>
  </si>
  <si>
    <t>01_MODELS</t>
  </si>
  <si>
    <t>Điền tên model, bài báo/nguồn gốc, tác giả, DOI, code, cấu hình chuẩn. Model chưa xác nhận là placeholder.</t>
  </si>
  <si>
    <t>02_RUNS</t>
  </si>
  <si>
    <t>Mỗi hàng = một lần train với seed cụ thể. Sửa Status = Completed sau khi hoàn tất train VÀ có kết quả validation đúng split.</t>
  </si>
  <si>
    <t>03_SUMMARY</t>
  </si>
  <si>
    <t>Tự tổng hợp các seed, dùng Validation mAP50 để so sánh đồng nhất. SD dựa trên 5 ô mỗi model, chỉ có nghĩa khi đã điền &gt;= 2 seed.</t>
  </si>
  <si>
    <t>04_KD_COMPARE</t>
  </si>
  <si>
    <t>So sánh teacher, student baseline, student+KD trên cùng test/split và metric. Điền ô vàng/trống, ô công thức tự tính.</t>
  </si>
  <si>
    <t>05_PER_CLASS</t>
  </si>
  <si>
    <t>Mỗi hàng = AP một bệnh của một model/seed/split. 14 nhóm bệnh theo chuẩn VinDr-CXR.</t>
  </si>
  <si>
    <t>Input conventions</t>
  </si>
  <si>
    <t>mAP / precision / recall nhập tỉ lệ thập phân 0–1 (ví dụ 0.415), không nhập 41.5.</t>
  </si>
  <si>
    <t>Training time</t>
  </si>
  <si>
    <t>results.csv thường có cột time (giây cộng dồn tùy phiên bản). Điền tổng thời gian giây ở 02_RUNS cột S; cột R tính wall-clock hours từ P/Q.</t>
  </si>
  <si>
    <t>Important</t>
  </si>
  <si>
    <t>Không lấy mAP từ training validation thay cho official test. Chỉ so sánh các run cùng split, dữ liệu, img size và cách tính metric.</t>
  </si>
  <si>
    <t>Metric sources</t>
  </si>
  <si>
    <t>Ultralytics results.csv: metrics/precision(B), metrics/recall(B), metrics/mAP50(B), metrics/mAP50-95(B); best.pt/last.pt và args.yaml.</t>
  </si>
  <si>
    <t>Other evidence</t>
  </si>
  <si>
    <t>Lưu confusion matrix, PR curves, val predictions, data.yaml, full command, logs, GPU thông tin và commit để tái lập.</t>
  </si>
  <si>
    <t>Model paper notes</t>
  </si>
  <si>
    <t>YOLOv11-MFF model source was listed in project GitHub with repository link. Paper details require validation against the PDF.</t>
  </si>
  <si>
    <t>Sources</t>
  </si>
  <si>
    <t>https://github.com/Leeminph0/vindr-cxr-yolo-kd</t>
  </si>
  <si>
    <t>MFF code</t>
  </si>
  <si>
    <t>Official dataset</t>
  </si>
  <si>
    <t>https://physionet.org/content/vindr-cxr/</t>
  </si>
  <si>
    <t>Ultralytics metrics</t>
  </si>
  <si>
    <t>https://docs.ultralytics.com/guides/yolo-performance-metrics/</t>
  </si>
  <si>
    <t>06_SLIDE_TABLE</t>
  </si>
  <si>
    <t>Slide-friendly compact table; YOLO26n summarized as 5-seed mean, MFF as single seed (seed4).</t>
  </si>
  <si>
    <t>CSV import note</t>
  </si>
  <si>
    <t>Imported 6 CSV files. Best validation epoch selected using mAP50-95; duplicated epochs were deduplicated.</t>
  </si>
  <si>
    <t>08_YOLO11n_CLASS_SUMMARY</t>
  </si>
  <si>
    <t>AP và Precision/Recall từng lớp, Mean ± Std 4 seeds YOLO11n (1-4).</t>
  </si>
  <si>
    <t>09_YOLO11n_SEEDS</t>
  </si>
  <si>
    <t>Metrics YOLO11n seeds 1-4; thời gian train chưa có.</t>
  </si>
  <si>
    <t>Warning</t>
  </si>
  <si>
    <t>11n.csv chưa xác minh seed nên KHÔNG cộng vào 4 seed đánh giá.</t>
  </si>
  <si>
    <t>Per-class</t>
  </si>
  <si>
    <t>Existing 14-class YOLO26n × 5-seed data preserved; new results.csv logs do NOT include per-class AP.</t>
  </si>
  <si>
    <t>SLIDE TABLE | VinDr-CXR (validation; metric origin labeled)</t>
  </si>
  <si>
    <t>YOLO11n &amp; YOLO26n: 5-seed validation. YOLO11m / YOLO26s / YOLOv8s: seed 0 confirmed by user (log only). MFF: seed 4 only.</t>
  </si>
  <si>
    <t>Role (provisional)</t>
  </si>
  <si>
    <t>Seeds confirmed</t>
  </si>
  <si>
    <t>mAP50</t>
  </si>
  <si>
    <t>mAP50-95</t>
  </si>
  <si>
    <t>Train h (log)</t>
  </si>
  <si>
    <t>5/5</t>
  </si>
  <si>
    <t>1/5</t>
  </si>
  <si>
    <t>1/5 (seed 0)</t>
  </si>
  <si>
    <t>Unknown</t>
  </si>
  <si>
    <t>NEW FILES | unverified seeds; best epoch selected by validation mAP50-95</t>
  </si>
  <si>
    <t>Source CSV</t>
  </si>
  <si>
    <t>Epochs logged</t>
  </si>
  <si>
    <t>F1</t>
  </si>
  <si>
    <t>Elapsed time (h)</t>
  </si>
  <si>
    <t>Comparability</t>
  </si>
  <si>
    <t>Seed 0 confirmed by user; CSV only, evaluation split/weights not yet verified; do not duplicate run</t>
  </si>
  <si>
    <t>Not pooled with confirmed 5 seeds</t>
  </si>
  <si>
    <t>YOLO11n | per-class Mean ± Std from seeds 1, 2, 3, 4</t>
  </si>
  <si>
    <t>Class ID</t>
  </si>
  <si>
    <t>Precision SD</t>
  </si>
  <si>
    <t>Recall SD</t>
  </si>
  <si>
    <t>AP50 mean</t>
  </si>
  <si>
    <t>AP50 SD</t>
  </si>
  <si>
    <t>AP50-95 mean</t>
  </si>
  <si>
    <t>AP50-95 SD</t>
  </si>
  <si>
    <t>N seeds</t>
  </si>
  <si>
    <t>Source</t>
  </si>
  <si>
    <t>YOLO11n_Seeds1_2_3_4_Full_Metrics.xlsx</t>
  </si>
  <si>
    <t>Caveat</t>
  </si>
  <si>
    <t>Seed 0 absent; split and evaluation protocol require confirmation.</t>
  </si>
  <si>
    <t>YOLO11n | confirmed seed-level results (1–4)</t>
  </si>
  <si>
    <t>Train h</t>
  </si>
  <si>
    <t>YOLO11n_Seed0_Metrics.xlsx</t>
  </si>
  <si>
    <t>MEAN (5 seeds)</t>
  </si>
  <si>
    <t>Seed 0 missing</t>
  </si>
  <si>
    <t>STD (sample)</t>
  </si>
  <si>
    <t>STDEV.S</t>
  </si>
  <si>
    <t>Metric</t>
  </si>
  <si>
    <t>Mean</t>
  </si>
  <si>
    <t>Std (sample)</t>
  </si>
  <si>
    <t>Seeds</t>
  </si>
  <si>
    <t>Scale</t>
  </si>
  <si>
    <t>0–1</t>
  </si>
  <si>
    <t>Seed0 + seeds1-4 metric workbooks</t>
  </si>
  <si>
    <t>Note</t>
  </si>
  <si>
    <t>Validation; training time not included</t>
  </si>
  <si>
    <t>P mean</t>
  </si>
  <si>
    <t>P SD</t>
  </si>
  <si>
    <t>R mean</t>
  </si>
  <si>
    <t>R SD</t>
  </si>
  <si>
    <t>CSV source</t>
  </si>
  <si>
    <t>Recorded status</t>
  </si>
  <si>
    <t>Independent verification</t>
  </si>
  <si>
    <t>Next action</t>
  </si>
  <si>
    <t>0–4</t>
  </si>
  <si>
    <t>Seed0_Metrics + Seeds1_2_3_4_Full_Metrics</t>
  </si>
  <si>
    <t>5/5 verified in evaluation tables</t>
  </si>
  <si>
    <t>Per-class available</t>
  </si>
  <si>
    <t>Verify protocol/splits</t>
  </si>
  <si>
    <t>evaluation_yolo26n.7z</t>
  </si>
  <si>
    <t>Seed 0 confirmed by user</t>
  </si>
  <si>
    <t>args.yaml / checkpoint not yet checked</t>
  </si>
  <si>
    <t>Verify args.yaml and best.pt</t>
  </si>
  <si>
    <t>results_11mff(1).csv</t>
  </si>
  <si>
    <t>Seed 4 previously identified</t>
  </si>
  <si>
    <t>Seed 0 not available</t>
  </si>
  <si>
    <t>Find seed 0 checkpoint/log</t>
  </si>
  <si>
    <t>YOLOv11-MFF (PLOS ONE)</t>
  </si>
  <si>
    <t>Trên VinDrCXr</t>
  </si>
  <si>
    <t>Trên SZ-HospCXR</t>
  </si>
  <si>
    <t>03\_YOLOv11-MFF\_PLOSONE\_2025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</si>
</sst>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0">
    <font>
      <sz val="11"/>
      <name val="Carlito"/>
    </font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7"/>
      <color rgb="FFFFFFFF"/>
      <name val="Carlito"/>
    </font>
    <font>
      <sz val="11"/>
      <color rgb="FF142A43"/>
      <name val="Carlito"/>
    </font>
    <font>
      <b/>
      <sz val="11"/>
      <color rgb="FF17365D"/>
      <name val="Carlito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42A43"/>
      </patternFill>
    </fill>
    <fill>
      <patternFill patternType="solid">
        <fgColor rgb="FF087E8B"/>
      </patternFill>
    </fill>
    <fill>
      <patternFill patternType="solid">
        <fgColor rgb="FFE8F4F5"/>
      </patternFill>
    </fill>
    <fill>
      <patternFill patternType="solid">
        <fgColor rgb="FF17365D"/>
      </patternFill>
    </fill>
    <fill>
      <patternFill patternType="solid">
        <fgColor rgb="FFDCEAF8"/>
      </patternFill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154C70"/>
      </patternFill>
    </fill>
    <fill>
      <patternFill patternType="solid">
        <fgColor rgb="FF0B2942"/>
      </patternFill>
    </fill>
    <fill>
      <patternFill patternType="solid">
        <fgColor rgb="FF17365D"/>
      </patternFill>
    </fill>
    <fill>
      <patternFill patternType="solid">
        <fgColor rgb="FF183153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0" fontId="3" fillId="5" borderId="0" xfId="0" applyFont="1" applyFill="1" applyAlignment="1">
      <alignment vertical="center" wrapText="1"/>
    </xf>
    <xf numFmtId="0" fontId="3" fillId="5" borderId="0" xfId="0" applyFont="1" applyFill="1"/>
    <xf numFmtId="0" fontId="7" fillId="6" borderId="0" xfId="0" applyFont="1" applyFill="1"/>
    <xf numFmtId="0" fontId="3" fillId="7" borderId="0" xfId="0" applyFont="1" applyFill="1" applyAlignment="1">
      <alignment wrapText="1"/>
    </xf>
    <xf numFmtId="0" fontId="3" fillId="7" borderId="0" xfId="0" applyFont="1" applyFill="1" applyAlignment="1">
      <alignment vertical="center" wrapText="1"/>
    </xf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4" fillId="2" borderId="0" xfId="0" applyFont="1" applyFill="1"/>
    <xf numFmtId="0" fontId="5" fillId="8" borderId="0" xfId="0" applyFont="1" applyFill="1"/>
    <xf numFmtId="0" fontId="6" fillId="4" borderId="0" xfId="0" applyFont="1" applyFill="1"/>
    <xf numFmtId="0" fontId="3" fillId="8" borderId="0" xfId="0" applyFont="1" applyFill="1"/>
    <xf numFmtId="0" fontId="1" fillId="15" borderId="0" xfId="3"/>
    <xf numFmtId="165" fontId="1" fillId="15" borderId="0" xfId="3" applyNumberFormat="1"/>
    <xf numFmtId="0" fontId="1" fillId="14" borderId="0" xfId="2"/>
    <xf numFmtId="165" fontId="1" fillId="14" borderId="0" xfId="2" applyNumberFormat="1"/>
    <xf numFmtId="0" fontId="9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13" borderId="0" xfId="1"/>
    <xf numFmtId="165" fontId="8" fillId="13" borderId="0" xfId="1" applyNumberFormat="1"/>
    <xf numFmtId="2" fontId="8" fillId="13" borderId="0" xfId="1" applyNumberFormat="1"/>
  </cellXfs>
  <cellStyles count="4">
    <cellStyle name="20% - Accent1" xfId="2" builtinId="30"/>
    <cellStyle name="20% - Accent4" xfId="3" builtinId="42"/>
    <cellStyle name="Accent1" xfId="1" builtinId="29"/>
    <cellStyle name="Normal" xfId="0" builtinId="0"/>
  </cellStyles>
  <dxfs count="6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pane ySplit="3" topLeftCell="A4" activePane="bottomLeft" state="frozen"/>
      <selection pane="bottomLeft" activeCell="H12" sqref="H12"/>
    </sheetView>
  </sheetViews>
  <sheetFormatPr defaultRowHeight="14.25"/>
  <cols>
    <col min="1" max="1" width="22" customWidth="1"/>
    <col min="2" max="2" width="15" customWidth="1"/>
    <col min="3" max="3" width="20" customWidth="1"/>
    <col min="4" max="4" width="38" customWidth="1"/>
    <col min="5" max="5" width="21" customWidth="1"/>
    <col min="6" max="6" width="11" customWidth="1"/>
    <col min="7" max="7" width="19" customWidth="1"/>
    <col min="8" max="8" width="42" customWidth="1"/>
    <col min="9" max="9" width="25" customWidth="1"/>
    <col min="10" max="10" width="19" customWidth="1"/>
    <col min="11" max="11" width="21" customWidth="1"/>
    <col min="12" max="12" width="20" customWidth="1"/>
    <col min="13" max="13" width="53" customWidth="1"/>
  </cols>
  <sheetData>
    <row r="1" spans="1:13" ht="36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spans="1:13" ht="36.950000000000003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13" ht="15.75" customHeight="1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/>
      <c r="H4" s="4">
        <v>100</v>
      </c>
    </row>
    <row r="5" spans="1:13" ht="42" customHeight="1">
      <c r="A5" s="4" t="s">
        <v>15</v>
      </c>
      <c r="B5" s="4" t="s">
        <v>10</v>
      </c>
      <c r="C5" s="4" t="s">
        <v>16</v>
      </c>
      <c r="D5" s="4" t="s">
        <v>293</v>
      </c>
      <c r="E5" s="4" t="s">
        <v>17</v>
      </c>
      <c r="F5" s="4" t="s">
        <v>17</v>
      </c>
      <c r="G5" s="4"/>
      <c r="H5" s="4">
        <v>300</v>
      </c>
    </row>
    <row r="6" spans="1:13" ht="23.1" customHeigh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14</v>
      </c>
      <c r="G6" s="4"/>
      <c r="H6" s="4">
        <v>100</v>
      </c>
    </row>
    <row r="7" spans="1:13" ht="23.1" customHeight="1">
      <c r="A7" t="s">
        <v>23</v>
      </c>
      <c r="B7" t="s">
        <v>24</v>
      </c>
      <c r="C7" t="s">
        <v>20</v>
      </c>
      <c r="D7" t="s">
        <v>21</v>
      </c>
      <c r="E7" t="s">
        <v>22</v>
      </c>
      <c r="F7" t="s">
        <v>14</v>
      </c>
      <c r="H7">
        <v>100</v>
      </c>
    </row>
    <row r="8" spans="1:13" ht="23.1" customHeight="1">
      <c r="A8" t="s">
        <v>25</v>
      </c>
      <c r="B8" t="s">
        <v>24</v>
      </c>
      <c r="C8" t="s">
        <v>11</v>
      </c>
      <c r="D8" t="s">
        <v>12</v>
      </c>
      <c r="E8" t="s">
        <v>13</v>
      </c>
      <c r="F8" t="s">
        <v>14</v>
      </c>
      <c r="H8">
        <v>100</v>
      </c>
    </row>
    <row r="9" spans="1:13" ht="23.1" customHeight="1">
      <c r="A9" t="s">
        <v>26</v>
      </c>
      <c r="B9" t="s">
        <v>24</v>
      </c>
      <c r="C9" t="s">
        <v>27</v>
      </c>
      <c r="D9" t="s">
        <v>28</v>
      </c>
      <c r="E9" t="s">
        <v>29</v>
      </c>
      <c r="F9" t="s">
        <v>14</v>
      </c>
      <c r="H9">
        <v>100</v>
      </c>
    </row>
    <row r="10" spans="1:13" ht="23.1" customHeight="1"/>
    <row r="11" spans="1:13" ht="23.1" customHeight="1"/>
    <row r="12" spans="1:13" ht="23.1" customHeight="1"/>
    <row r="13" spans="1:13" ht="23.1" customHeight="1"/>
    <row r="14" spans="1:13" ht="23.1" customHeight="1"/>
    <row r="15" spans="1:13" ht="23.1" customHeight="1"/>
    <row r="16" spans="1:13" ht="23.1" customHeight="1"/>
    <row r="17" ht="23.1" customHeight="1"/>
    <row r="18" ht="23.1" customHeight="1"/>
    <row r="19" ht="23.1" customHeight="1"/>
    <row r="20" ht="23.1" customHeight="1"/>
    <row r="21" ht="23.1" customHeight="1"/>
    <row r="22" ht="23.1" customHeight="1"/>
    <row r="23" ht="23.1" customHeight="1"/>
    <row r="24" ht="23.1" customHeight="1"/>
    <row r="25" ht="23.1" customHeight="1"/>
    <row r="26" ht="23.1" customHeight="1"/>
    <row r="27" ht="23.1" customHeight="1"/>
    <row r="28" ht="23.1" customHeight="1"/>
    <row r="29" ht="23.1" customHeight="1"/>
    <row r="30" ht="23.1" customHeight="1"/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6"/>
  <sheetViews>
    <sheetView workbookViewId="0">
      <pane ySplit="3" topLeftCell="A4" activePane="bottomLeft" state="frozen"/>
      <selection pane="bottomLeft" activeCell="M13" sqref="M13"/>
    </sheetView>
  </sheetViews>
  <sheetFormatPr defaultRowHeight="14.25"/>
  <cols>
    <col min="1" max="2" width="24" customWidth="1"/>
    <col min="3" max="3" width="10" customWidth="1"/>
    <col min="4" max="5" width="17" customWidth="1"/>
    <col min="6" max="6" width="24" customWidth="1"/>
    <col min="7" max="7" width="18" customWidth="1"/>
    <col min="8" max="8" width="16" customWidth="1"/>
    <col min="9" max="9" width="14" customWidth="1"/>
    <col min="10" max="10" width="15" customWidth="1"/>
    <col min="11" max="11" width="18" customWidth="1"/>
    <col min="12" max="13" width="16" customWidth="1"/>
    <col min="14" max="14" width="14" customWidth="1"/>
    <col min="15" max="15" width="17" customWidth="1"/>
    <col min="16" max="17" width="20" customWidth="1"/>
    <col min="18" max="19" width="16" customWidth="1"/>
    <col min="20" max="20" width="18" customWidth="1"/>
    <col min="21" max="21" width="15" customWidth="1"/>
    <col min="22" max="22" width="19" customWidth="1"/>
    <col min="23" max="23" width="13" customWidth="1"/>
    <col min="24" max="24" width="18" customWidth="1"/>
    <col min="25" max="25" width="21" customWidth="1"/>
    <col min="26" max="29" width="40" customWidth="1"/>
    <col min="30" max="31" width="19" customWidth="1"/>
    <col min="32" max="32" width="20" customWidth="1"/>
    <col min="33" max="33" width="42" customWidth="1"/>
  </cols>
  <sheetData>
    <row r="1" spans="1:33" ht="36" customHeight="1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3" spans="1:33" ht="36.950000000000003" customHeight="1">
      <c r="A3" s="3" t="s">
        <v>31</v>
      </c>
      <c r="B3" s="3" t="s">
        <v>1</v>
      </c>
      <c r="C3" s="3" t="s">
        <v>32</v>
      </c>
      <c r="D3" s="3" t="s">
        <v>33</v>
      </c>
      <c r="E3" s="3" t="s">
        <v>2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49</v>
      </c>
      <c r="V3" s="3" t="s">
        <v>50</v>
      </c>
      <c r="W3" s="3" t="s">
        <v>51</v>
      </c>
      <c r="X3" s="3" t="s">
        <v>52</v>
      </c>
      <c r="Y3" s="3" t="s">
        <v>53</v>
      </c>
      <c r="Z3" s="3" t="s">
        <v>54</v>
      </c>
      <c r="AA3" s="3" t="s">
        <v>55</v>
      </c>
      <c r="AB3" s="3" t="s">
        <v>56</v>
      </c>
      <c r="AC3" s="3" t="s">
        <v>57</v>
      </c>
      <c r="AD3" s="3" t="s">
        <v>58</v>
      </c>
      <c r="AE3" s="3" t="s">
        <v>59</v>
      </c>
      <c r="AF3" s="3" t="s">
        <v>60</v>
      </c>
      <c r="AG3" s="3" t="s">
        <v>61</v>
      </c>
    </row>
    <row r="4" spans="1:33" ht="23.1" customHeight="1">
      <c r="A4" t="s">
        <v>62</v>
      </c>
      <c r="B4" t="s">
        <v>9</v>
      </c>
      <c r="C4">
        <v>0</v>
      </c>
      <c r="D4" t="s">
        <v>63</v>
      </c>
      <c r="E4" t="s">
        <v>10</v>
      </c>
      <c r="F4" t="s">
        <v>64</v>
      </c>
      <c r="G4" t="s">
        <v>65</v>
      </c>
      <c r="H4">
        <v>100</v>
      </c>
      <c r="I4">
        <v>640</v>
      </c>
      <c r="J4" s="5">
        <v>7.8920000000000003</v>
      </c>
      <c r="K4" s="5">
        <v>28409.599999999999</v>
      </c>
      <c r="L4" s="6">
        <v>0.47996967229503806</v>
      </c>
      <c r="M4" s="6">
        <v>0.40369327267115634</v>
      </c>
      <c r="N4" s="6">
        <v>0.43853944288475033</v>
      </c>
      <c r="O4" s="6">
        <v>0.40118492620312013</v>
      </c>
      <c r="P4" s="6">
        <v>0.19675768537498106</v>
      </c>
      <c r="Q4" s="6"/>
      <c r="U4" t="str">
        <f t="shared" ref="U4:U9" si="0">IF(OR(T4="",T4=0),"",1000/T4)</f>
        <v/>
      </c>
      <c r="W4">
        <v>57</v>
      </c>
      <c r="X4" s="6"/>
      <c r="Y4" s="6"/>
      <c r="AB4" t="s">
        <v>66</v>
      </c>
      <c r="AG4" t="s">
        <v>67</v>
      </c>
    </row>
    <row r="5" spans="1:33" ht="23.1" customHeight="1">
      <c r="A5" t="s">
        <v>68</v>
      </c>
      <c r="B5" t="s">
        <v>9</v>
      </c>
      <c r="C5">
        <v>1</v>
      </c>
      <c r="D5" t="s">
        <v>63</v>
      </c>
      <c r="E5" t="s">
        <v>10</v>
      </c>
      <c r="F5" t="s">
        <v>64</v>
      </c>
      <c r="G5" t="s">
        <v>65</v>
      </c>
      <c r="H5">
        <v>100</v>
      </c>
      <c r="I5">
        <v>640</v>
      </c>
      <c r="J5" s="5">
        <v>9.0969999999999995</v>
      </c>
      <c r="K5" s="5">
        <v>32748.7</v>
      </c>
      <c r="L5" s="6">
        <v>0.46255959572332017</v>
      </c>
      <c r="M5" s="6">
        <v>0.40714968020459186</v>
      </c>
      <c r="N5" s="6">
        <v>0.43308953161015928</v>
      </c>
      <c r="O5" s="6">
        <v>0.40342688774274948</v>
      </c>
      <c r="P5" s="6">
        <v>0.20015440912178264</v>
      </c>
      <c r="Q5" s="6"/>
      <c r="U5" t="str">
        <f t="shared" si="0"/>
        <v/>
      </c>
      <c r="W5">
        <v>74</v>
      </c>
      <c r="X5" s="6"/>
      <c r="Y5" s="6"/>
      <c r="AB5" t="s">
        <v>69</v>
      </c>
      <c r="AG5" t="s">
        <v>67</v>
      </c>
    </row>
    <row r="6" spans="1:33" ht="23.1" customHeight="1">
      <c r="A6" t="s">
        <v>70</v>
      </c>
      <c r="B6" t="s">
        <v>9</v>
      </c>
      <c r="C6">
        <v>2</v>
      </c>
      <c r="D6" t="s">
        <v>63</v>
      </c>
      <c r="E6" t="s">
        <v>10</v>
      </c>
      <c r="F6" t="s">
        <v>64</v>
      </c>
      <c r="G6" t="s">
        <v>65</v>
      </c>
      <c r="H6">
        <v>100</v>
      </c>
      <c r="I6">
        <v>640</v>
      </c>
      <c r="J6" s="5">
        <v>9.4429999999999996</v>
      </c>
      <c r="K6" s="5">
        <v>33995.599999999999</v>
      </c>
      <c r="L6" s="6">
        <v>0.44233494554093983</v>
      </c>
      <c r="M6" s="6">
        <v>0.40061323670310672</v>
      </c>
      <c r="N6" s="6">
        <v>0.42044158341572818</v>
      </c>
      <c r="O6" s="6">
        <v>0.3938732804419332</v>
      </c>
      <c r="P6" s="6">
        <v>0.20156314187708824</v>
      </c>
      <c r="Q6" s="6"/>
      <c r="U6" t="str">
        <f t="shared" si="0"/>
        <v/>
      </c>
      <c r="W6">
        <v>69</v>
      </c>
      <c r="X6" s="6"/>
      <c r="Y6" s="6"/>
      <c r="AB6" t="s">
        <v>71</v>
      </c>
      <c r="AG6" t="s">
        <v>67</v>
      </c>
    </row>
    <row r="7" spans="1:33" ht="23.1" customHeight="1">
      <c r="A7" t="s">
        <v>72</v>
      </c>
      <c r="B7" t="s">
        <v>9</v>
      </c>
      <c r="C7">
        <v>3</v>
      </c>
      <c r="D7" t="s">
        <v>63</v>
      </c>
      <c r="E7" t="s">
        <v>10</v>
      </c>
      <c r="F7" t="s">
        <v>64</v>
      </c>
      <c r="G7" t="s">
        <v>65</v>
      </c>
      <c r="H7">
        <v>100</v>
      </c>
      <c r="I7">
        <v>640</v>
      </c>
      <c r="J7" s="5">
        <v>8.8130000000000006</v>
      </c>
      <c r="K7" s="5">
        <v>31727</v>
      </c>
      <c r="L7" s="6">
        <v>0.45996325740503241</v>
      </c>
      <c r="M7" s="6">
        <v>0.38181336309069291</v>
      </c>
      <c r="N7" s="6">
        <v>0.41726062219343218</v>
      </c>
      <c r="O7" s="6">
        <v>0.37732613091496731</v>
      </c>
      <c r="P7" s="6">
        <v>0.19451618020926165</v>
      </c>
      <c r="Q7" s="6"/>
      <c r="U7" t="str">
        <f t="shared" si="0"/>
        <v/>
      </c>
      <c r="W7">
        <v>82</v>
      </c>
      <c r="X7" s="6"/>
      <c r="Y7" s="6"/>
      <c r="AB7" t="s">
        <v>73</v>
      </c>
      <c r="AG7" t="s">
        <v>67</v>
      </c>
    </row>
    <row r="8" spans="1:33" ht="23.1" customHeight="1">
      <c r="A8" t="s">
        <v>74</v>
      </c>
      <c r="B8" t="s">
        <v>9</v>
      </c>
      <c r="C8">
        <v>4</v>
      </c>
      <c r="D8" t="s">
        <v>63</v>
      </c>
      <c r="E8" t="s">
        <v>10</v>
      </c>
      <c r="F8" t="s">
        <v>64</v>
      </c>
      <c r="G8" t="s">
        <v>65</v>
      </c>
      <c r="H8">
        <v>100</v>
      </c>
      <c r="I8">
        <v>640</v>
      </c>
      <c r="J8" s="5">
        <v>9.6069999999999993</v>
      </c>
      <c r="K8" s="5">
        <v>34586.1</v>
      </c>
      <c r="L8" s="6">
        <v>0.46377523999205655</v>
      </c>
      <c r="M8" s="6">
        <v>0.41595834790089647</v>
      </c>
      <c r="N8" s="6">
        <v>0.43856727827450248</v>
      </c>
      <c r="O8" s="6">
        <v>0.40056299966790532</v>
      </c>
      <c r="P8" s="6">
        <v>0.2018704697894991</v>
      </c>
      <c r="Q8" s="6"/>
      <c r="U8" t="str">
        <f t="shared" si="0"/>
        <v/>
      </c>
      <c r="W8">
        <v>78</v>
      </c>
      <c r="X8" s="6"/>
      <c r="Y8" s="6"/>
      <c r="AB8" t="s">
        <v>75</v>
      </c>
      <c r="AG8" t="s">
        <v>67</v>
      </c>
    </row>
    <row r="9" spans="1:33" ht="23.1" customHeight="1">
      <c r="A9" t="s">
        <v>76</v>
      </c>
      <c r="B9" t="s">
        <v>15</v>
      </c>
      <c r="C9">
        <v>4</v>
      </c>
      <c r="D9" t="s">
        <v>63</v>
      </c>
      <c r="E9" t="s">
        <v>24</v>
      </c>
      <c r="F9" t="s">
        <v>64</v>
      </c>
      <c r="G9" t="s">
        <v>65</v>
      </c>
      <c r="H9">
        <v>300</v>
      </c>
      <c r="I9">
        <v>640</v>
      </c>
      <c r="J9" s="5">
        <v>28.414999999999999</v>
      </c>
      <c r="K9" s="5">
        <v>102295</v>
      </c>
      <c r="L9" s="6">
        <v>0.44918000000000002</v>
      </c>
      <c r="M9" s="6">
        <v>0.32561000000000001</v>
      </c>
      <c r="N9" s="6">
        <f>IF(OR(L9="",M9=""),"",IF(L9+M9=0,0,2*L9*M9/(L9+M9)))</f>
        <v>0.3775410105964197</v>
      </c>
      <c r="O9" s="6">
        <v>0.32394000000000001</v>
      </c>
      <c r="P9" s="6">
        <v>0.16861999999999999</v>
      </c>
      <c r="Q9" s="6"/>
      <c r="U9" t="str">
        <f t="shared" si="0"/>
        <v/>
      </c>
      <c r="W9">
        <v>176</v>
      </c>
      <c r="X9" s="6"/>
      <c r="Y9" s="6"/>
      <c r="AB9" t="s">
        <v>77</v>
      </c>
      <c r="AG9" t="s">
        <v>78</v>
      </c>
    </row>
    <row r="10" spans="1:33" ht="23.1" customHeight="1">
      <c r="A10" t="s">
        <v>79</v>
      </c>
      <c r="B10" t="s">
        <v>18</v>
      </c>
      <c r="C10">
        <v>0</v>
      </c>
      <c r="D10" t="s">
        <v>63</v>
      </c>
      <c r="E10" t="s">
        <v>19</v>
      </c>
      <c r="F10" t="s">
        <v>80</v>
      </c>
      <c r="G10" t="s">
        <v>81</v>
      </c>
      <c r="H10">
        <v>100</v>
      </c>
      <c r="I10">
        <v>640</v>
      </c>
      <c r="J10" s="5">
        <v>15.075055555555554</v>
      </c>
      <c r="K10" s="5"/>
      <c r="L10" s="6">
        <v>0.24639</v>
      </c>
      <c r="M10" s="6">
        <v>0.21037</v>
      </c>
      <c r="N10" s="6">
        <v>0.22695973509063841</v>
      </c>
      <c r="O10" s="6">
        <v>0.17984</v>
      </c>
      <c r="P10" s="6">
        <v>9.1539999999999996E-2</v>
      </c>
      <c r="Q10" s="6"/>
      <c r="W10">
        <v>33</v>
      </c>
      <c r="X10" s="6"/>
      <c r="Y10" s="6"/>
    </row>
    <row r="11" spans="1:33" ht="23.1" customHeight="1">
      <c r="A11" t="s">
        <v>82</v>
      </c>
      <c r="B11" t="s">
        <v>25</v>
      </c>
      <c r="C11">
        <v>0</v>
      </c>
      <c r="D11" t="s">
        <v>63</v>
      </c>
      <c r="E11" t="s">
        <v>24</v>
      </c>
      <c r="F11" t="s">
        <v>80</v>
      </c>
      <c r="G11" t="s">
        <v>81</v>
      </c>
      <c r="H11">
        <v>100</v>
      </c>
      <c r="I11">
        <v>640</v>
      </c>
      <c r="J11" s="5">
        <v>22.647944444444445</v>
      </c>
      <c r="K11" s="5"/>
      <c r="L11" s="6">
        <v>0.42360999999999999</v>
      </c>
      <c r="M11" s="6">
        <v>0.30459999999999998</v>
      </c>
      <c r="N11" s="6">
        <v>0.35438020900564393</v>
      </c>
      <c r="O11" s="6">
        <v>0.28845999999999999</v>
      </c>
      <c r="P11" s="6">
        <v>0.13883999999999999</v>
      </c>
      <c r="Q11" s="6"/>
      <c r="W11">
        <v>70</v>
      </c>
      <c r="X11" s="6"/>
      <c r="Y11" s="6"/>
    </row>
    <row r="12" spans="1:33" ht="23.1" customHeight="1">
      <c r="A12" t="s">
        <v>83</v>
      </c>
      <c r="B12" t="s">
        <v>26</v>
      </c>
      <c r="C12">
        <v>0</v>
      </c>
      <c r="D12" t="s">
        <v>63</v>
      </c>
      <c r="E12" t="s">
        <v>24</v>
      </c>
      <c r="F12" t="s">
        <v>80</v>
      </c>
      <c r="G12" t="s">
        <v>81</v>
      </c>
      <c r="H12">
        <v>100</v>
      </c>
      <c r="I12">
        <v>640</v>
      </c>
      <c r="J12" s="5">
        <v>12.910805555555555</v>
      </c>
      <c r="K12" s="5"/>
      <c r="L12" s="6">
        <v>0.37956000000000001</v>
      </c>
      <c r="M12" s="6">
        <v>0.26950000000000002</v>
      </c>
      <c r="N12" s="6">
        <v>0.3151986565186578</v>
      </c>
      <c r="O12" s="6">
        <v>0.2737</v>
      </c>
      <c r="P12" s="6">
        <v>0.13758999999999999</v>
      </c>
      <c r="Q12" s="6"/>
      <c r="W12">
        <v>63</v>
      </c>
      <c r="X12" s="6"/>
      <c r="Y12" s="6"/>
    </row>
    <row r="13" spans="1:33" ht="23.1" customHeight="1">
      <c r="A13" t="s">
        <v>84</v>
      </c>
      <c r="B13" t="s">
        <v>18</v>
      </c>
      <c r="D13" t="s">
        <v>63</v>
      </c>
      <c r="E13" t="s">
        <v>19</v>
      </c>
      <c r="F13" t="s">
        <v>85</v>
      </c>
      <c r="G13" t="s">
        <v>81</v>
      </c>
      <c r="H13">
        <v>100</v>
      </c>
      <c r="I13">
        <v>640</v>
      </c>
      <c r="J13">
        <v>15.075055555555554</v>
      </c>
      <c r="K13">
        <v>54270.2</v>
      </c>
      <c r="L13">
        <v>0.24639</v>
      </c>
      <c r="M13">
        <v>0.21037</v>
      </c>
      <c r="N13">
        <v>0.22695973509063841</v>
      </c>
      <c r="O13">
        <v>0.17984</v>
      </c>
      <c r="P13">
        <v>9.1539999999999996E-2</v>
      </c>
      <c r="W13">
        <v>33</v>
      </c>
      <c r="AB13" t="s">
        <v>86</v>
      </c>
      <c r="AG13" t="s">
        <v>87</v>
      </c>
    </row>
    <row r="14" spans="1:33" ht="23.1" customHeight="1">
      <c r="A14" t="s">
        <v>88</v>
      </c>
      <c r="B14" t="s">
        <v>23</v>
      </c>
      <c r="D14" t="s">
        <v>63</v>
      </c>
      <c r="E14" t="s">
        <v>24</v>
      </c>
      <c r="F14" t="s">
        <v>85</v>
      </c>
      <c r="G14" t="s">
        <v>81</v>
      </c>
      <c r="H14">
        <v>100</v>
      </c>
      <c r="I14">
        <v>640</v>
      </c>
      <c r="J14">
        <v>10.181666666666667</v>
      </c>
      <c r="K14">
        <v>36654</v>
      </c>
      <c r="L14">
        <v>0.36169000000000001</v>
      </c>
      <c r="M14">
        <v>0.33637</v>
      </c>
      <c r="N14">
        <v>0.34857079706615474</v>
      </c>
      <c r="O14">
        <v>0.29977999999999999</v>
      </c>
      <c r="P14">
        <v>0.14796999999999999</v>
      </c>
      <c r="W14">
        <v>83</v>
      </c>
      <c r="AB14" t="s">
        <v>89</v>
      </c>
      <c r="AG14" t="s">
        <v>87</v>
      </c>
    </row>
    <row r="15" spans="1:33" ht="23.1" customHeight="1">
      <c r="A15" t="s">
        <v>90</v>
      </c>
      <c r="B15" t="s">
        <v>9</v>
      </c>
      <c r="D15" t="s">
        <v>63</v>
      </c>
      <c r="E15" t="s">
        <v>24</v>
      </c>
      <c r="F15" t="s">
        <v>85</v>
      </c>
      <c r="G15" t="s">
        <v>81</v>
      </c>
      <c r="H15">
        <v>100</v>
      </c>
      <c r="I15">
        <v>640</v>
      </c>
      <c r="J15">
        <v>14.001999999999999</v>
      </c>
      <c r="K15">
        <v>50407.199999999997</v>
      </c>
      <c r="L15">
        <v>0.41252</v>
      </c>
      <c r="M15">
        <v>0.33672999999999997</v>
      </c>
      <c r="N15">
        <v>0.37079175068401732</v>
      </c>
      <c r="O15">
        <v>0.32263999999999998</v>
      </c>
      <c r="P15">
        <v>0.16209999999999999</v>
      </c>
      <c r="W15">
        <v>100</v>
      </c>
      <c r="AB15" t="s">
        <v>91</v>
      </c>
      <c r="AG15" t="s">
        <v>87</v>
      </c>
    </row>
    <row r="16" spans="1:33" ht="23.1" customHeight="1">
      <c r="A16" t="s">
        <v>92</v>
      </c>
      <c r="B16" t="s">
        <v>25</v>
      </c>
      <c r="D16" t="s">
        <v>63</v>
      </c>
      <c r="E16" t="s">
        <v>24</v>
      </c>
      <c r="F16" t="s">
        <v>85</v>
      </c>
      <c r="G16" t="s">
        <v>81</v>
      </c>
      <c r="H16">
        <v>100</v>
      </c>
      <c r="I16">
        <v>640</v>
      </c>
      <c r="J16">
        <v>22.647944444444445</v>
      </c>
      <c r="K16">
        <v>81532.600000000006</v>
      </c>
      <c r="L16">
        <v>0.42360999999999999</v>
      </c>
      <c r="M16">
        <v>0.30459999999999998</v>
      </c>
      <c r="N16">
        <v>0.35438020900564393</v>
      </c>
      <c r="O16">
        <v>0.28845999999999999</v>
      </c>
      <c r="P16">
        <v>0.13883999999999999</v>
      </c>
      <c r="W16">
        <v>70</v>
      </c>
      <c r="AB16" t="s">
        <v>93</v>
      </c>
      <c r="AG16" t="s">
        <v>87</v>
      </c>
    </row>
    <row r="18" spans="1:33" ht="23.1" customHeight="1">
      <c r="A18" t="s">
        <v>94</v>
      </c>
      <c r="B18" t="s">
        <v>26</v>
      </c>
      <c r="D18" t="s">
        <v>63</v>
      </c>
      <c r="E18" t="s">
        <v>24</v>
      </c>
      <c r="F18" t="s">
        <v>85</v>
      </c>
      <c r="G18" t="s">
        <v>81</v>
      </c>
      <c r="H18">
        <v>100</v>
      </c>
      <c r="I18">
        <v>640</v>
      </c>
      <c r="J18">
        <v>12.910805555555555</v>
      </c>
      <c r="K18">
        <v>46478.9</v>
      </c>
      <c r="L18">
        <v>0.37956000000000001</v>
      </c>
      <c r="M18">
        <v>0.26950000000000002</v>
      </c>
      <c r="N18">
        <v>0.3151986565186578</v>
      </c>
      <c r="O18">
        <v>0.2737</v>
      </c>
      <c r="P18">
        <v>0.13758999999999999</v>
      </c>
    </row>
    <row r="19" spans="1:33" ht="23.1" customHeight="1"/>
    <row r="20" spans="1:33" ht="23.1" customHeight="1">
      <c r="A20" t="s">
        <v>102</v>
      </c>
      <c r="B20" t="s">
        <v>23</v>
      </c>
      <c r="C20">
        <v>0</v>
      </c>
      <c r="D20" t="s">
        <v>63</v>
      </c>
      <c r="E20" t="s">
        <v>24</v>
      </c>
      <c r="F20" t="s">
        <v>85</v>
      </c>
      <c r="G20" t="s">
        <v>81</v>
      </c>
      <c r="H20">
        <v>100</v>
      </c>
      <c r="I20">
        <v>640</v>
      </c>
      <c r="J20">
        <v>10.181666666666667</v>
      </c>
      <c r="K20">
        <v>36654</v>
      </c>
      <c r="L20">
        <v>0.36169000000000001</v>
      </c>
      <c r="M20">
        <v>0.33637</v>
      </c>
      <c r="N20">
        <v>0.34857079706615474</v>
      </c>
      <c r="O20">
        <v>0.29977999999999999</v>
      </c>
      <c r="P20">
        <v>0.14796999999999999</v>
      </c>
      <c r="W20">
        <v>63</v>
      </c>
      <c r="AB20" t="s">
        <v>95</v>
      </c>
      <c r="AG20" t="s">
        <v>87</v>
      </c>
    </row>
    <row r="21" spans="1:33" ht="23.1" customHeight="1">
      <c r="A21" t="s">
        <v>96</v>
      </c>
      <c r="B21" t="s">
        <v>23</v>
      </c>
      <c r="C21">
        <v>1</v>
      </c>
      <c r="D21" t="s">
        <v>63</v>
      </c>
      <c r="E21" t="s">
        <v>24</v>
      </c>
      <c r="F21" t="s">
        <v>97</v>
      </c>
      <c r="G21" t="s">
        <v>98</v>
      </c>
      <c r="H21">
        <v>100</v>
      </c>
      <c r="I21">
        <v>640</v>
      </c>
      <c r="L21">
        <v>0.37103060305235064</v>
      </c>
      <c r="M21">
        <v>0.35387420722965823</v>
      </c>
      <c r="N21">
        <v>0.36224938405916718</v>
      </c>
      <c r="O21">
        <v>0.30690194026254114</v>
      </c>
      <c r="P21">
        <v>0.1554002599302558</v>
      </c>
    </row>
    <row r="22" spans="1:33" ht="23.1" customHeight="1">
      <c r="A22" t="s">
        <v>99</v>
      </c>
      <c r="B22" t="s">
        <v>23</v>
      </c>
      <c r="C22">
        <v>2</v>
      </c>
      <c r="D22" t="s">
        <v>63</v>
      </c>
      <c r="E22" t="s">
        <v>24</v>
      </c>
      <c r="F22" t="s">
        <v>97</v>
      </c>
      <c r="G22" t="s">
        <v>98</v>
      </c>
      <c r="H22">
        <v>100</v>
      </c>
      <c r="I22">
        <v>640</v>
      </c>
      <c r="L22">
        <v>0.37233846369154522</v>
      </c>
      <c r="M22">
        <v>0.3312669575088561</v>
      </c>
      <c r="N22">
        <v>0.3506039786338972</v>
      </c>
      <c r="O22">
        <v>0.30388112326303451</v>
      </c>
      <c r="P22">
        <v>0.15286815646253341</v>
      </c>
    </row>
    <row r="23" spans="1:33" ht="23.1" customHeight="1">
      <c r="A23" t="s">
        <v>100</v>
      </c>
      <c r="B23" t="s">
        <v>23</v>
      </c>
      <c r="C23">
        <v>3</v>
      </c>
      <c r="D23" t="s">
        <v>63</v>
      </c>
      <c r="E23" t="s">
        <v>24</v>
      </c>
      <c r="F23" t="s">
        <v>97</v>
      </c>
      <c r="G23" t="s">
        <v>98</v>
      </c>
      <c r="H23">
        <v>100</v>
      </c>
      <c r="I23">
        <v>640</v>
      </c>
      <c r="L23">
        <v>0.34744292221840484</v>
      </c>
      <c r="M23">
        <v>0.36166070575832776</v>
      </c>
      <c r="N23">
        <v>0.35440927814394757</v>
      </c>
      <c r="O23">
        <v>0.31311466055014292</v>
      </c>
      <c r="P23">
        <v>0.15395170889867421</v>
      </c>
    </row>
    <row r="24" spans="1:33" ht="23.1" customHeight="1">
      <c r="A24" t="s">
        <v>101</v>
      </c>
      <c r="B24" t="s">
        <v>23</v>
      </c>
      <c r="C24">
        <v>4</v>
      </c>
      <c r="D24" t="s">
        <v>63</v>
      </c>
      <c r="E24" t="s">
        <v>24</v>
      </c>
      <c r="F24" t="s">
        <v>97</v>
      </c>
      <c r="G24" t="s">
        <v>98</v>
      </c>
      <c r="H24">
        <v>100</v>
      </c>
      <c r="I24">
        <v>640</v>
      </c>
      <c r="L24">
        <v>0.37581036640043175</v>
      </c>
      <c r="M24">
        <v>0.33093099514031893</v>
      </c>
      <c r="N24">
        <v>0.3519457196217084</v>
      </c>
      <c r="O24">
        <v>0.30354664632530892</v>
      </c>
      <c r="P24">
        <v>0.15341940082292849</v>
      </c>
    </row>
    <row r="25" spans="1:33" ht="23.1" customHeight="1"/>
    <row r="26" spans="1:33" ht="23.1" customHeight="1"/>
    <row r="27" spans="1:33" ht="23.1" customHeight="1"/>
    <row r="28" spans="1:33" ht="23.1" customHeight="1"/>
    <row r="29" spans="1:33" ht="23.1" customHeight="1"/>
    <row r="30" spans="1:33" ht="23.1" customHeight="1"/>
    <row r="31" spans="1:33" ht="23.1" customHeight="1"/>
    <row r="32" spans="1:33" ht="23.1" customHeight="1"/>
    <row r="33" spans="1:16" ht="23.1" customHeight="1"/>
    <row r="34" spans="1:16" ht="23.1" customHeight="1"/>
    <row r="35" spans="1:16" ht="23.1" customHeight="1"/>
    <row r="36" spans="1:16" ht="23.1" customHeight="1"/>
    <row r="37" spans="1:16" ht="23.1" customHeight="1">
      <c r="A37" t="s">
        <v>102</v>
      </c>
      <c r="B37" t="s">
        <v>23</v>
      </c>
      <c r="C37">
        <v>0</v>
      </c>
      <c r="D37" t="s">
        <v>63</v>
      </c>
      <c r="E37" t="s">
        <v>10</v>
      </c>
      <c r="F37" t="s">
        <v>64</v>
      </c>
      <c r="G37" t="s">
        <v>65</v>
      </c>
      <c r="H37">
        <v>100</v>
      </c>
      <c r="I37">
        <v>640</v>
      </c>
      <c r="L37">
        <v>0.36188374044528548</v>
      </c>
      <c r="M37">
        <v>0.33705828692288053</v>
      </c>
      <c r="N37">
        <v>0.34903013080792106</v>
      </c>
      <c r="O37">
        <v>0.29958923174403018</v>
      </c>
      <c r="P37">
        <v>0.14780522751758191</v>
      </c>
    </row>
    <row r="38" spans="1:16" ht="23.1" customHeight="1"/>
    <row r="39" spans="1:16" ht="23.1" customHeight="1"/>
    <row r="40" spans="1:16" ht="23.1" customHeight="1"/>
    <row r="41" spans="1:16" ht="23.1" customHeight="1"/>
    <row r="42" spans="1:16" ht="23.1" customHeight="1"/>
    <row r="43" spans="1:16" ht="23.1" customHeight="1"/>
    <row r="44" spans="1:16" ht="23.1" customHeight="1"/>
    <row r="45" spans="1:16" ht="23.1" customHeight="1"/>
    <row r="46" spans="1:16" ht="23.1" customHeight="1"/>
    <row r="47" spans="1:16" ht="23.1" customHeight="1"/>
    <row r="48" spans="1:16" ht="23.1" customHeight="1"/>
    <row r="49" ht="23.1" customHeight="1"/>
    <row r="50" ht="23.1" customHeight="1"/>
    <row r="51" ht="23.1" customHeight="1"/>
    <row r="52" ht="23.1" customHeight="1"/>
    <row r="53" ht="23.1" customHeight="1"/>
    <row r="54" ht="23.1" customHeight="1"/>
    <row r="55" ht="23.1" customHeight="1"/>
    <row r="56" ht="23.1" customHeight="1"/>
  </sheetData>
  <mergeCells count="1">
    <mergeCell ref="A1:AG1"/>
  </mergeCells>
  <conditionalFormatting sqref="D4:D16">
    <cfRule type="expression" dxfId="5" priority="5">
      <formula>D4="Completed"</formula>
    </cfRule>
    <cfRule type="expression" dxfId="4" priority="6">
      <formula>D4="Failed"</formula>
    </cfRule>
  </conditionalFormatting>
  <conditionalFormatting sqref="D18">
    <cfRule type="expression" dxfId="3" priority="3">
      <formula>D18="Completed"</formula>
    </cfRule>
    <cfRule type="expression" dxfId="2" priority="4">
      <formula>D18="Failed"</formula>
    </cfRule>
  </conditionalFormatting>
  <conditionalFormatting sqref="D20:D24">
    <cfRule type="expression" dxfId="1" priority="1">
      <formula>D20="Completed"</formula>
    </cfRule>
    <cfRule type="expression" dxfId="0" priority="2">
      <formula>D20="Failed"</formula>
    </cfRule>
  </conditionalFormatting>
  <dataValidations count="2">
    <dataValidation type="list" sqref="D4:D16 D18 D20:D24" xr:uid="{00000000-0002-0000-0100-000000000000}">
      <formula1>"Not started,Training,Completed,Interrupted,Failed,Pending eval"</formula1>
    </dataValidation>
    <dataValidation type="list" sqref="G4:G12" xr:uid="{00000000-0002-0000-0100-000001000000}">
      <formula1>"Validation,Official test,Custom test,Train"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pane ySplit="3" topLeftCell="A4" activePane="bottomLeft" state="frozen"/>
      <selection pane="bottomLeft" activeCell="O23" sqref="O23"/>
    </sheetView>
  </sheetViews>
  <sheetFormatPr defaultRowHeight="14.25"/>
  <cols>
    <col min="1" max="1" width="23" customWidth="1"/>
    <col min="2" max="2" width="17" customWidth="1"/>
    <col min="3" max="3" width="15" customWidth="1"/>
    <col min="4" max="5" width="17" customWidth="1"/>
    <col min="6" max="6" width="21" customWidth="1"/>
    <col min="7" max="7" width="19" customWidth="1"/>
    <col min="8" max="9" width="17" customWidth="1"/>
    <col min="10" max="10" width="15" customWidth="1"/>
    <col min="11" max="12" width="20" customWidth="1"/>
    <col min="13" max="13" width="18" customWidth="1"/>
    <col min="14" max="14" width="20" customWidth="1"/>
    <col min="15" max="15" width="45" customWidth="1"/>
  </cols>
  <sheetData>
    <row r="1" spans="1:15" ht="36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3" spans="1:15" ht="36.950000000000003" customHeight="1">
      <c r="A3" s="3" t="s">
        <v>1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108</v>
      </c>
      <c r="G3" s="3" t="s">
        <v>109</v>
      </c>
      <c r="H3" s="3" t="s">
        <v>110</v>
      </c>
      <c r="I3" s="3" t="s">
        <v>111</v>
      </c>
      <c r="J3" s="3" t="s">
        <v>112</v>
      </c>
      <c r="K3" s="3" t="s">
        <v>113</v>
      </c>
      <c r="L3" s="3" t="s">
        <v>114</v>
      </c>
      <c r="M3" s="3" t="s">
        <v>115</v>
      </c>
      <c r="N3" s="3" t="s">
        <v>33</v>
      </c>
      <c r="O3" s="3" t="s">
        <v>61</v>
      </c>
    </row>
    <row r="4" spans="1:15" ht="23.1" customHeight="1">
      <c r="A4" t="s">
        <v>9</v>
      </c>
      <c r="B4">
        <f>COUNTIFS('02_RUNS'!$B$4:$B$12,A4,'02_RUNS'!$D$4:$D$12,"Completed")</f>
        <v>5</v>
      </c>
      <c r="C4">
        <f>COUNTIF('02_RUNS'!$B$4:$B$12,A4)</f>
        <v>5</v>
      </c>
      <c r="D4" s="6">
        <v>0.39527484499413507</v>
      </c>
      <c r="E4" s="6">
        <v>1.0647419417580219E-2</v>
      </c>
      <c r="F4" s="6">
        <v>0.19897237727452255</v>
      </c>
      <c r="G4" s="6">
        <v>3.2121158616067284E-3</v>
      </c>
      <c r="H4" s="6">
        <v>0.46172054219127739</v>
      </c>
      <c r="I4" s="6">
        <v>0.40184558011408889</v>
      </c>
      <c r="J4" s="6">
        <v>0.42957969167571447</v>
      </c>
      <c r="K4" s="6">
        <f>IFERROR(AVERAGEIFS('02_RUNS'!$J$4:$J$12,'02_RUNS'!$B$4:$B$12,A4,'02_RUNS'!$D$4:$D$12,"Completed"),"")</f>
        <v>8.9704000000000015</v>
      </c>
      <c r="L4" s="6">
        <f>IFERROR(SUMIFS('02_RUNS'!$J$4:$J$12,'02_RUNS'!$B$4:$B$12,A4),"")</f>
        <v>44.852000000000004</v>
      </c>
      <c r="M4" s="6">
        <v>0.40342688774274948</v>
      </c>
      <c r="N4" t="str">
        <f>IF(B4=0,"Not started",IF(B4&lt;C4,"Partial","All seeds completed"))</f>
        <v>All seeds completed</v>
      </c>
      <c r="O4" t="s">
        <v>116</v>
      </c>
    </row>
    <row r="5" spans="1:15" ht="23.1" customHeight="1">
      <c r="A5" t="s">
        <v>15</v>
      </c>
      <c r="B5">
        <f>COUNTIFS('02_RUNS'!$B$4:$B$12,A5,'02_RUNS'!$D$4:$D$12,"Completed")</f>
        <v>1</v>
      </c>
      <c r="C5">
        <v>5</v>
      </c>
      <c r="D5" s="6">
        <f>IFERROR(AVERAGEIFS('02_RUNS'!$O$4:$O$12,'02_RUNS'!$B$4:$B$12,A5,'02_RUNS'!$G$4:$G$12,"Validation",'02_RUNS'!$D$4:$D$12,"Completed"),"")</f>
        <v>0.32394000000000001</v>
      </c>
      <c r="E5" s="6" t="str">
        <f>IF(COUNT('02_RUNS'!O9:O9)&lt;2,"",_xlfn.STDEV.S('02_RUNS'!O9:O9))</f>
        <v/>
      </c>
      <c r="F5" s="6">
        <f>IFERROR(AVERAGEIFS('02_RUNS'!$P$4:$P$12,'02_RUNS'!$B$4:$B$12,A5,'02_RUNS'!$G$4:$G$12,"Validation",'02_RUNS'!$D$4:$D$12,"Completed"),"")</f>
        <v>0.16861999999999999</v>
      </c>
      <c r="G5" s="6" t="str">
        <f>IF(COUNT('02_RUNS'!P9:P9)&lt;2,"",_xlfn.STDEV.S('02_RUNS'!P9:P9))</f>
        <v/>
      </c>
      <c r="H5" s="6">
        <f>IFERROR(AVERAGEIFS('02_RUNS'!$L$4:$L$12,'02_RUNS'!$B$4:$B$12,A5,'02_RUNS'!$D$4:$D$12,"Completed"),"")</f>
        <v>0.44918000000000002</v>
      </c>
      <c r="I5" s="6">
        <f>IFERROR(AVERAGEIFS('02_RUNS'!$M$4:$M$12,'02_RUNS'!$B$4:$B$12,A5,'02_RUNS'!$D$4:$D$12,"Completed"),"")</f>
        <v>0.32561000000000001</v>
      </c>
      <c r="J5" s="6">
        <f>IFERROR(AVERAGEIFS('02_RUNS'!$N$4:$N$12,'02_RUNS'!$B$4:$B$12,A5,'02_RUNS'!$D$4:$D$12,"Completed"),"")</f>
        <v>0.3775410105964197</v>
      </c>
      <c r="K5" s="6">
        <f>IFERROR(AVERAGEIFS('02_RUNS'!$J$4:$J$12,'02_RUNS'!$B$4:$B$12,A5,'02_RUNS'!$D$4:$D$12,"Completed"),"")</f>
        <v>28.414999999999999</v>
      </c>
      <c r="L5" s="6">
        <f>IFERROR(SUMIFS('02_RUNS'!$J$4:$J$12,'02_RUNS'!$B$4:$B$12,A5),"")</f>
        <v>28.414999999999999</v>
      </c>
      <c r="M5" s="6">
        <f>IF(COUNTIFS('02_RUNS'!$B$4:$B$12,A5,'02_RUNS'!$D$4:$D$12,"Completed",'02_RUNS'!$G$4:$G$12,"Validation")=0,"",_xlfn.MAXIFS('02_RUNS'!$O$4:$O$12,'02_RUNS'!$B$4:$B$12,A5,'02_RUNS'!$D$4:$D$12,"Completed",'02_RUNS'!$G$4:$G$12,"Validation"))</f>
        <v>0.32394000000000001</v>
      </c>
      <c r="N5" t="str">
        <f>IF(B5=0,"Not started",IF(B5&lt;C5,"Partial","All seeds completed"))</f>
        <v>Partial</v>
      </c>
    </row>
    <row r="6" spans="1:15" ht="23.1" customHeight="1">
      <c r="A6" t="s">
        <v>18</v>
      </c>
      <c r="B6">
        <v>1</v>
      </c>
      <c r="C6">
        <v>5</v>
      </c>
      <c r="D6" s="6">
        <v>0.17984</v>
      </c>
      <c r="E6" s="6"/>
      <c r="F6" s="6">
        <v>9.1539999999999996E-2</v>
      </c>
      <c r="G6" s="6"/>
      <c r="H6" s="6">
        <v>0.24639</v>
      </c>
      <c r="I6" s="6">
        <v>0.21037</v>
      </c>
      <c r="J6" s="6">
        <v>0.22695973509063841</v>
      </c>
      <c r="K6" s="6">
        <v>15.075055555555554</v>
      </c>
      <c r="L6" s="6">
        <v>15.075055555555554</v>
      </c>
      <c r="M6" s="6">
        <v>0.17984</v>
      </c>
      <c r="N6" t="s">
        <v>117</v>
      </c>
      <c r="O6" t="s">
        <v>118</v>
      </c>
    </row>
    <row r="7" spans="1:15" ht="23.1" customHeight="1">
      <c r="A7" t="s">
        <v>23</v>
      </c>
      <c r="B7">
        <v>5</v>
      </c>
      <c r="C7">
        <v>5</v>
      </c>
      <c r="D7" s="6">
        <v>0.30540672042901151</v>
      </c>
      <c r="E7" s="6">
        <v>5.0318614906790576E-3</v>
      </c>
      <c r="F7" s="6">
        <v>0.15268895072639477</v>
      </c>
      <c r="G7" s="6">
        <v>2.8880001826648398E-3</v>
      </c>
      <c r="H7" s="6">
        <v>0.36570121916160359</v>
      </c>
      <c r="I7" s="6">
        <v>0.3429582305120083</v>
      </c>
      <c r="J7" s="6">
        <v>0.35364769825332831</v>
      </c>
      <c r="K7" s="6"/>
      <c r="L7" s="6"/>
      <c r="M7" s="6">
        <v>0.31311466055014292</v>
      </c>
      <c r="N7" t="s">
        <v>119</v>
      </c>
      <c r="O7" t="s">
        <v>120</v>
      </c>
    </row>
    <row r="8" spans="1:15" ht="23.1" customHeight="1">
      <c r="A8" t="s">
        <v>25</v>
      </c>
      <c r="B8">
        <v>1</v>
      </c>
      <c r="C8">
        <v>5</v>
      </c>
      <c r="D8" s="6">
        <v>0.28845999999999999</v>
      </c>
      <c r="E8" s="6"/>
      <c r="F8" s="6">
        <v>0.13883999999999999</v>
      </c>
      <c r="G8" s="6"/>
      <c r="H8" s="6">
        <v>0.42360999999999999</v>
      </c>
      <c r="I8" s="6">
        <v>0.30459999999999998</v>
      </c>
      <c r="J8" s="6">
        <v>0.35438020900564393</v>
      </c>
      <c r="K8" s="6">
        <v>22.647944444444445</v>
      </c>
      <c r="L8" s="6">
        <v>22.647944444444445</v>
      </c>
      <c r="M8" s="6">
        <v>0.28845999999999999</v>
      </c>
      <c r="N8" t="s">
        <v>117</v>
      </c>
      <c r="O8" t="s">
        <v>118</v>
      </c>
    </row>
    <row r="9" spans="1:15" ht="23.1" customHeight="1">
      <c r="A9" t="s">
        <v>26</v>
      </c>
      <c r="B9">
        <v>1</v>
      </c>
      <c r="C9">
        <v>5</v>
      </c>
      <c r="D9" s="6">
        <v>0.2737</v>
      </c>
      <c r="E9" s="6"/>
      <c r="F9" s="6">
        <v>0.13758999999999999</v>
      </c>
      <c r="G9" s="6"/>
      <c r="H9" s="6">
        <v>0.37956000000000001</v>
      </c>
      <c r="I9" s="6">
        <v>0.26950000000000002</v>
      </c>
      <c r="J9" s="6">
        <v>0.3151986565186578</v>
      </c>
      <c r="K9" s="6">
        <v>12.910805555555555</v>
      </c>
      <c r="L9" s="6">
        <v>12.910805555555555</v>
      </c>
      <c r="M9" s="6">
        <v>0.2737</v>
      </c>
      <c r="N9" t="s">
        <v>117</v>
      </c>
      <c r="O9" t="s">
        <v>118</v>
      </c>
    </row>
    <row r="10" spans="1:15" ht="23.1" customHeight="1">
      <c r="D10" s="6"/>
      <c r="E10" s="6"/>
      <c r="F10" s="6"/>
      <c r="G10" s="6"/>
      <c r="H10" s="6"/>
      <c r="I10" s="6"/>
      <c r="J10" s="6"/>
      <c r="K10" s="6"/>
      <c r="L10" s="6"/>
      <c r="M10" s="6" t="str">
        <f>IF(COUNTIFS('02_RUNS'!$B$4:$B$12,A10,'02_RUNS'!$D$4:$D$12,"Completed",'02_RUNS'!$G$4:$G$12,"Validation")=0,"",_xlfn.MAXIFS('02_RUNS'!$O$4:$O$12,'02_RUNS'!$B$4:$B$12,A10,'02_RUNS'!$D$4:$D$12,"Completed",'02_RUNS'!$G$4:$G$12,"Validation"))</f>
        <v/>
      </c>
    </row>
    <row r="11" spans="1:15" ht="23.1" customHeight="1">
      <c r="D11" s="6"/>
      <c r="E11" s="6"/>
      <c r="F11" s="6"/>
      <c r="G11" s="6"/>
      <c r="H11" s="6"/>
      <c r="I11" s="6"/>
      <c r="J11" s="6"/>
      <c r="K11" s="6"/>
      <c r="L11" s="6"/>
      <c r="M11" s="6" t="str">
        <f>IF(COUNTIFS('02_RUNS'!$B$4:$B$12,A11,'02_RUNS'!$D$4:$D$12,"Completed",'02_RUNS'!$G$4:$G$12,"Validation")=0,"",_xlfn.MAXIFS('02_RUNS'!$O$4:$O$12,'02_RUNS'!$B$4:$B$12,A11,'02_RUNS'!$D$4:$D$12,"Completed",'02_RUNS'!$G$4:$G$12,"Validation"))</f>
        <v/>
      </c>
    </row>
    <row r="12" spans="1:15" ht="23.1" customHeight="1">
      <c r="D12" s="6"/>
      <c r="E12" s="6"/>
      <c r="F12" s="6"/>
      <c r="G12" s="6"/>
      <c r="H12" s="6"/>
      <c r="I12" s="6"/>
      <c r="J12" s="6"/>
      <c r="K12" s="6"/>
      <c r="L12" s="6"/>
      <c r="M12" s="6" t="str">
        <f>IF(COUNTIFS('02_RUNS'!$B$4:$B$12,A12,'02_RUNS'!$D$4:$D$12,"Completed",'02_RUNS'!$G$4:$G$12,"Validation")=0,"",_xlfn.MAXIFS('02_RUNS'!$O$4:$O$12,'02_RUNS'!$B$4:$B$12,A12,'02_RUNS'!$D$4:$D$12,"Completed",'02_RUNS'!$G$4:$G$12,"Validation"))</f>
        <v/>
      </c>
    </row>
    <row r="13" spans="1:15" ht="23.1" customHeight="1"/>
    <row r="14" spans="1:15" ht="23.1" customHeight="1"/>
    <row r="15" spans="1:15" ht="23.1" customHeight="1"/>
    <row r="16" spans="1:15" ht="23.1" customHeight="1"/>
    <row r="17" ht="23.1" customHeight="1"/>
    <row r="18" ht="23.1" customHeight="1"/>
    <row r="19" ht="23.1" customHeight="1"/>
    <row r="20" ht="23.1" customHeight="1"/>
    <row r="21" ht="23.1" customHeight="1"/>
    <row r="22" ht="23.1" customHeight="1"/>
    <row r="23" ht="23.1" customHeight="1"/>
    <row r="24" ht="23.1" customHeight="1"/>
    <row r="25" ht="23.1" customHeight="1"/>
  </sheetData>
  <mergeCells count="1">
    <mergeCell ref="A1:O1"/>
  </mergeCells>
  <conditionalFormatting sqref="D4:G12">
    <cfRule type="colorScale" priority="1">
      <colorScale>
        <cfvo type="min"/>
        <cfvo type="percentile" val="50"/>
        <cfvo type="max"/>
        <color rgb="FFFEE2E2"/>
        <color rgb="FFFFF2C4"/>
        <color rgb="FFC7F9E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workbookViewId="0">
      <pane ySplit="3" topLeftCell="A4" activePane="bottomLeft" state="frozen"/>
      <selection pane="bottomLeft" sqref="A1:T1"/>
    </sheetView>
  </sheetViews>
  <sheetFormatPr defaultRowHeight="14.25"/>
  <cols>
    <col min="1" max="1" width="22" customWidth="1"/>
    <col min="2" max="2" width="23" customWidth="1"/>
    <col min="3" max="4" width="22" customWidth="1"/>
    <col min="5" max="5" width="24" customWidth="1"/>
    <col min="6" max="6" width="12" customWidth="1"/>
    <col min="7" max="7" width="18" customWidth="1"/>
    <col min="8" max="9" width="20" customWidth="1"/>
    <col min="10" max="10" width="18" customWidth="1"/>
    <col min="11" max="11" width="19" customWidth="1"/>
    <col min="12" max="12" width="23" customWidth="1"/>
    <col min="13" max="14" width="20" customWidth="1"/>
    <col min="15" max="15" width="19" customWidth="1"/>
    <col min="16" max="17" width="24" customWidth="1"/>
    <col min="18" max="18" width="18" customWidth="1"/>
    <col min="19" max="19" width="47" customWidth="1"/>
    <col min="20" max="20" width="44" customWidth="1"/>
  </cols>
  <sheetData>
    <row r="1" spans="1:20" ht="36" customHeight="1">
      <c r="A1" s="17" t="s">
        <v>121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3" spans="1:20" ht="36.950000000000003" customHeight="1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32</v>
      </c>
      <c r="G3" s="3" t="s">
        <v>35</v>
      </c>
      <c r="H3" s="3" t="s">
        <v>127</v>
      </c>
      <c r="I3" s="3" t="s">
        <v>128</v>
      </c>
      <c r="J3" s="3" t="s">
        <v>129</v>
      </c>
      <c r="K3" s="3" t="s">
        <v>130</v>
      </c>
      <c r="L3" s="3" t="s">
        <v>131</v>
      </c>
      <c r="M3" s="3" t="s">
        <v>132</v>
      </c>
      <c r="N3" s="3" t="s">
        <v>133</v>
      </c>
      <c r="O3" s="3" t="s">
        <v>134</v>
      </c>
      <c r="P3" s="3" t="s">
        <v>135</v>
      </c>
      <c r="Q3" s="3" t="s">
        <v>136</v>
      </c>
      <c r="R3" s="3" t="s">
        <v>137</v>
      </c>
      <c r="S3" s="3" t="s">
        <v>138</v>
      </c>
      <c r="T3" s="3" t="s">
        <v>61</v>
      </c>
    </row>
    <row r="4" spans="1:20" ht="23.1" customHeight="1">
      <c r="J4" t="str">
        <f t="shared" ref="J4:J23" si="0">IF(OR(H4="",I4=""),"",I4-H4)</f>
        <v/>
      </c>
      <c r="L4" t="str">
        <f t="shared" ref="L4:L23" si="1">IF(OR(K4="",I4="",K4=0),"",100*I4/K4)</f>
        <v/>
      </c>
      <c r="O4" t="str">
        <f t="shared" ref="O4:O23" si="2">IF(OR(M4="",N4="",N4=0),"",M4/N4)</f>
        <v/>
      </c>
      <c r="R4" t="str">
        <f t="shared" ref="R4:R23" si="3">IF(OR(P4="",Q4="",Q4=0),"",P4/Q4)</f>
        <v/>
      </c>
    </row>
    <row r="5" spans="1:20" ht="23.1" customHeight="1">
      <c r="J5" t="str">
        <f t="shared" si="0"/>
        <v/>
      </c>
      <c r="L5" t="str">
        <f t="shared" si="1"/>
        <v/>
      </c>
      <c r="O5" t="str">
        <f t="shared" si="2"/>
        <v/>
      </c>
      <c r="R5" t="str">
        <f t="shared" si="3"/>
        <v/>
      </c>
    </row>
    <row r="6" spans="1:20" ht="23.1" customHeight="1">
      <c r="J6" t="str">
        <f t="shared" si="0"/>
        <v/>
      </c>
      <c r="L6" t="str">
        <f t="shared" si="1"/>
        <v/>
      </c>
      <c r="O6" t="str">
        <f t="shared" si="2"/>
        <v/>
      </c>
      <c r="R6" t="str">
        <f t="shared" si="3"/>
        <v/>
      </c>
    </row>
    <row r="7" spans="1:20" ht="23.1" customHeight="1">
      <c r="J7" t="str">
        <f t="shared" si="0"/>
        <v/>
      </c>
      <c r="L7" t="str">
        <f t="shared" si="1"/>
        <v/>
      </c>
      <c r="O7" t="str">
        <f t="shared" si="2"/>
        <v/>
      </c>
      <c r="R7" t="str">
        <f t="shared" si="3"/>
        <v/>
      </c>
    </row>
    <row r="8" spans="1:20" ht="23.1" customHeight="1">
      <c r="J8" t="str">
        <f t="shared" si="0"/>
        <v/>
      </c>
      <c r="L8" t="str">
        <f t="shared" si="1"/>
        <v/>
      </c>
      <c r="O8" t="str">
        <f t="shared" si="2"/>
        <v/>
      </c>
      <c r="R8" t="str">
        <f t="shared" si="3"/>
        <v/>
      </c>
    </row>
    <row r="9" spans="1:20" ht="23.1" customHeight="1">
      <c r="J9" t="str">
        <f t="shared" si="0"/>
        <v/>
      </c>
      <c r="L9" t="str">
        <f t="shared" si="1"/>
        <v/>
      </c>
      <c r="O9" t="str">
        <f t="shared" si="2"/>
        <v/>
      </c>
      <c r="R9" t="str">
        <f t="shared" si="3"/>
        <v/>
      </c>
    </row>
    <row r="10" spans="1:20" ht="23.1" customHeight="1">
      <c r="J10" t="str">
        <f t="shared" si="0"/>
        <v/>
      </c>
      <c r="L10" t="str">
        <f t="shared" si="1"/>
        <v/>
      </c>
      <c r="O10" t="str">
        <f t="shared" si="2"/>
        <v/>
      </c>
      <c r="R10" t="str">
        <f t="shared" si="3"/>
        <v/>
      </c>
    </row>
    <row r="11" spans="1:20" ht="23.1" customHeight="1">
      <c r="J11" t="str">
        <f t="shared" si="0"/>
        <v/>
      </c>
      <c r="L11" t="str">
        <f t="shared" si="1"/>
        <v/>
      </c>
      <c r="O11" t="str">
        <f t="shared" si="2"/>
        <v/>
      </c>
      <c r="R11" t="str">
        <f t="shared" si="3"/>
        <v/>
      </c>
    </row>
    <row r="12" spans="1:20" ht="23.1" customHeight="1">
      <c r="J12" t="str">
        <f t="shared" si="0"/>
        <v/>
      </c>
      <c r="L12" t="str">
        <f t="shared" si="1"/>
        <v/>
      </c>
      <c r="O12" t="str">
        <f t="shared" si="2"/>
        <v/>
      </c>
      <c r="R12" t="str">
        <f t="shared" si="3"/>
        <v/>
      </c>
    </row>
    <row r="13" spans="1:20" ht="23.1" customHeight="1">
      <c r="J13" t="str">
        <f t="shared" si="0"/>
        <v/>
      </c>
      <c r="L13" t="str">
        <f t="shared" si="1"/>
        <v/>
      </c>
      <c r="O13" t="str">
        <f t="shared" si="2"/>
        <v/>
      </c>
      <c r="R13" t="str">
        <f t="shared" si="3"/>
        <v/>
      </c>
    </row>
    <row r="14" spans="1:20" ht="23.1" customHeight="1">
      <c r="J14" t="str">
        <f t="shared" si="0"/>
        <v/>
      </c>
      <c r="L14" t="str">
        <f t="shared" si="1"/>
        <v/>
      </c>
      <c r="O14" t="str">
        <f t="shared" si="2"/>
        <v/>
      </c>
      <c r="R14" t="str">
        <f t="shared" si="3"/>
        <v/>
      </c>
    </row>
    <row r="15" spans="1:20" ht="23.1" customHeight="1">
      <c r="J15" t="str">
        <f t="shared" si="0"/>
        <v/>
      </c>
      <c r="L15" t="str">
        <f t="shared" si="1"/>
        <v/>
      </c>
      <c r="O15" t="str">
        <f t="shared" si="2"/>
        <v/>
      </c>
      <c r="R15" t="str">
        <f t="shared" si="3"/>
        <v/>
      </c>
    </row>
    <row r="16" spans="1:20" ht="23.1" customHeight="1">
      <c r="J16" t="str">
        <f t="shared" si="0"/>
        <v/>
      </c>
      <c r="L16" t="str">
        <f t="shared" si="1"/>
        <v/>
      </c>
      <c r="O16" t="str">
        <f t="shared" si="2"/>
        <v/>
      </c>
      <c r="R16" t="str">
        <f t="shared" si="3"/>
        <v/>
      </c>
    </row>
    <row r="17" spans="10:18" ht="23.1" customHeight="1">
      <c r="J17" t="str">
        <f t="shared" si="0"/>
        <v/>
      </c>
      <c r="L17" t="str">
        <f t="shared" si="1"/>
        <v/>
      </c>
      <c r="O17" t="str">
        <f t="shared" si="2"/>
        <v/>
      </c>
      <c r="R17" t="str">
        <f t="shared" si="3"/>
        <v/>
      </c>
    </row>
    <row r="18" spans="10:18" ht="23.1" customHeight="1">
      <c r="J18" t="str">
        <f t="shared" si="0"/>
        <v/>
      </c>
      <c r="L18" t="str">
        <f t="shared" si="1"/>
        <v/>
      </c>
      <c r="O18" t="str">
        <f t="shared" si="2"/>
        <v/>
      </c>
      <c r="R18" t="str">
        <f t="shared" si="3"/>
        <v/>
      </c>
    </row>
    <row r="19" spans="10:18" ht="23.1" customHeight="1">
      <c r="J19" t="str">
        <f t="shared" si="0"/>
        <v/>
      </c>
      <c r="L19" t="str">
        <f t="shared" si="1"/>
        <v/>
      </c>
      <c r="O19" t="str">
        <f t="shared" si="2"/>
        <v/>
      </c>
      <c r="R19" t="str">
        <f t="shared" si="3"/>
        <v/>
      </c>
    </row>
    <row r="20" spans="10:18" ht="23.1" customHeight="1">
      <c r="J20" t="str">
        <f t="shared" si="0"/>
        <v/>
      </c>
      <c r="L20" t="str">
        <f t="shared" si="1"/>
        <v/>
      </c>
      <c r="O20" t="str">
        <f t="shared" si="2"/>
        <v/>
      </c>
      <c r="R20" t="str">
        <f t="shared" si="3"/>
        <v/>
      </c>
    </row>
    <row r="21" spans="10:18" ht="23.1" customHeight="1">
      <c r="J21" t="str">
        <f t="shared" si="0"/>
        <v/>
      </c>
      <c r="L21" t="str">
        <f t="shared" si="1"/>
        <v/>
      </c>
      <c r="O21" t="str">
        <f t="shared" si="2"/>
        <v/>
      </c>
      <c r="R21" t="str">
        <f t="shared" si="3"/>
        <v/>
      </c>
    </row>
    <row r="22" spans="10:18" ht="23.1" customHeight="1">
      <c r="J22" t="str">
        <f t="shared" si="0"/>
        <v/>
      </c>
      <c r="L22" t="str">
        <f t="shared" si="1"/>
        <v/>
      </c>
      <c r="O22" t="str">
        <f t="shared" si="2"/>
        <v/>
      </c>
      <c r="R22" t="str">
        <f t="shared" si="3"/>
        <v/>
      </c>
    </row>
    <row r="23" spans="10:18" ht="23.1" customHeight="1">
      <c r="J23" t="str">
        <f t="shared" si="0"/>
        <v/>
      </c>
      <c r="L23" t="str">
        <f t="shared" si="1"/>
        <v/>
      </c>
      <c r="O23" t="str">
        <f t="shared" si="2"/>
        <v/>
      </c>
      <c r="R23" t="str">
        <f t="shared" si="3"/>
        <v/>
      </c>
    </row>
    <row r="24" spans="10:18" ht="23.1" customHeight="1"/>
    <row r="25" spans="10:18" ht="23.1" customHeight="1"/>
    <row r="26" spans="10:18" ht="23.1" customHeight="1"/>
    <row r="27" spans="10:18" ht="23.1" customHeight="1"/>
    <row r="28" spans="10:18" ht="23.1" customHeight="1"/>
    <row r="29" spans="10:18" ht="23.1" customHeight="1"/>
    <row r="30" spans="10:18" ht="23.1" customHeight="1"/>
    <row r="31" spans="10:18" ht="23.1" customHeight="1"/>
    <row r="32" spans="10:18" ht="23.1" customHeight="1"/>
    <row r="33" ht="23.1" customHeight="1"/>
    <row r="34" ht="23.1" customHeight="1"/>
    <row r="35" ht="23.1" customHeight="1"/>
  </sheetData>
  <mergeCells count="1"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0"/>
  <sheetViews>
    <sheetView workbookViewId="0">
      <pane ySplit="3" topLeftCell="A148" activePane="bottomLeft" state="frozen"/>
      <selection pane="bottomLeft" sqref="A1:K1"/>
    </sheetView>
  </sheetViews>
  <sheetFormatPr defaultRowHeight="14.25"/>
  <cols>
    <col min="1" max="1" width="25" customWidth="1"/>
    <col min="2" max="2" width="17" customWidth="1"/>
    <col min="3" max="3" width="20" customWidth="1"/>
    <col min="4" max="4" width="23" customWidth="1"/>
    <col min="5" max="6" width="18" customWidth="1"/>
    <col min="7" max="7" width="20" customWidth="1"/>
    <col min="8" max="8" width="19" customWidth="1"/>
    <col min="9" max="9" width="15" customWidth="1"/>
    <col min="10" max="10" width="17" customWidth="1"/>
    <col min="11" max="11" width="32" customWidth="1"/>
  </cols>
  <sheetData>
    <row r="1" spans="1:11" ht="36" customHeight="1">
      <c r="A1" s="17" t="s">
        <v>139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3" spans="1:11" ht="27.95" customHeight="1">
      <c r="A3" s="7" t="s">
        <v>140</v>
      </c>
      <c r="B3" s="7" t="s">
        <v>32</v>
      </c>
      <c r="C3" s="7" t="s">
        <v>35</v>
      </c>
      <c r="D3" s="7" t="s">
        <v>141</v>
      </c>
      <c r="E3" s="7" t="s">
        <v>142</v>
      </c>
      <c r="F3" s="7" t="s">
        <v>143</v>
      </c>
      <c r="G3" s="7" t="s">
        <v>144</v>
      </c>
      <c r="H3" s="7" t="s">
        <v>145</v>
      </c>
      <c r="I3" s="7" t="s">
        <v>146</v>
      </c>
      <c r="J3" s="7" t="s">
        <v>147</v>
      </c>
      <c r="K3" s="7" t="s">
        <v>61</v>
      </c>
    </row>
    <row r="4" spans="1:11" ht="23.1" customHeight="1">
      <c r="A4" t="s">
        <v>9</v>
      </c>
      <c r="B4">
        <v>0</v>
      </c>
      <c r="C4" t="s">
        <v>65</v>
      </c>
      <c r="D4" t="s">
        <v>148</v>
      </c>
      <c r="E4" s="6">
        <v>0.919292845647116</v>
      </c>
      <c r="F4" s="6"/>
      <c r="G4" s="6">
        <v>0.58555355097386497</v>
      </c>
      <c r="H4" s="6"/>
      <c r="I4" s="6">
        <v>0.92923076923076919</v>
      </c>
      <c r="J4" s="6">
        <v>0.71259145577650684</v>
      </c>
      <c r="K4" t="s">
        <v>149</v>
      </c>
    </row>
    <row r="5" spans="1:11" ht="23.1" customHeight="1">
      <c r="A5" t="s">
        <v>9</v>
      </c>
      <c r="B5">
        <v>0</v>
      </c>
      <c r="C5" t="s">
        <v>65</v>
      </c>
      <c r="D5" t="s">
        <v>150</v>
      </c>
      <c r="E5" s="6">
        <v>0.29879991292132202</v>
      </c>
      <c r="F5" s="6"/>
      <c r="G5" s="6">
        <v>0.10631426263772308</v>
      </c>
      <c r="H5" s="6"/>
      <c r="I5" s="6">
        <v>0.23809523809523808</v>
      </c>
      <c r="J5" s="6">
        <v>0.52691733094285165</v>
      </c>
      <c r="K5" t="s">
        <v>149</v>
      </c>
    </row>
    <row r="6" spans="1:11" ht="23.1" customHeight="1">
      <c r="A6" t="s">
        <v>9</v>
      </c>
      <c r="B6">
        <v>0</v>
      </c>
      <c r="C6" t="s">
        <v>65</v>
      </c>
      <c r="D6" t="s">
        <v>151</v>
      </c>
      <c r="E6" s="6">
        <v>0.16454838075685832</v>
      </c>
      <c r="F6" s="6"/>
      <c r="G6" s="6">
        <v>6.3469106203995429E-2</v>
      </c>
      <c r="H6" s="6"/>
      <c r="I6" s="6">
        <v>0.18309859154929578</v>
      </c>
      <c r="J6" s="6">
        <v>0.31112200321848332</v>
      </c>
      <c r="K6" t="s">
        <v>149</v>
      </c>
    </row>
    <row r="7" spans="1:11" ht="23.1" customHeight="1">
      <c r="A7" t="s">
        <v>9</v>
      </c>
      <c r="B7">
        <v>0</v>
      </c>
      <c r="C7" t="s">
        <v>65</v>
      </c>
      <c r="D7" t="s">
        <v>152</v>
      </c>
      <c r="E7" s="6">
        <v>0.91854684001014164</v>
      </c>
      <c r="F7" s="6"/>
      <c r="G7" s="6">
        <v>0.62177964631748295</v>
      </c>
      <c r="H7" s="6"/>
      <c r="I7" s="6">
        <v>0.90598290598290598</v>
      </c>
      <c r="J7" s="6">
        <v>0.73907967742669511</v>
      </c>
      <c r="K7" t="s">
        <v>149</v>
      </c>
    </row>
    <row r="8" spans="1:11" ht="23.1" customHeight="1">
      <c r="A8" t="s">
        <v>9</v>
      </c>
      <c r="B8">
        <v>0</v>
      </c>
      <c r="C8" t="s">
        <v>65</v>
      </c>
      <c r="D8" t="s">
        <v>153</v>
      </c>
      <c r="E8" s="6">
        <v>0.48320478686718099</v>
      </c>
      <c r="F8" s="6"/>
      <c r="G8" s="6">
        <v>0.18543982121768182</v>
      </c>
      <c r="H8" s="6"/>
      <c r="I8" s="6">
        <v>0.5</v>
      </c>
      <c r="J8" s="6">
        <v>0.52863379884072192</v>
      </c>
      <c r="K8" t="s">
        <v>149</v>
      </c>
    </row>
    <row r="9" spans="1:11" ht="23.1" customHeight="1">
      <c r="A9" t="s">
        <v>9</v>
      </c>
      <c r="B9">
        <v>0</v>
      </c>
      <c r="C9" t="s">
        <v>65</v>
      </c>
      <c r="D9" t="s">
        <v>154</v>
      </c>
      <c r="E9" s="6">
        <v>0.25788068009309528</v>
      </c>
      <c r="F9" s="6"/>
      <c r="G9" s="6">
        <v>0.11827933124155096</v>
      </c>
      <c r="H9" s="6"/>
      <c r="I9" s="6">
        <v>0.33846153846153848</v>
      </c>
      <c r="J9" s="6">
        <v>0.28468706349595602</v>
      </c>
      <c r="K9" t="s">
        <v>149</v>
      </c>
    </row>
    <row r="10" spans="1:11" ht="23.1" customHeight="1">
      <c r="A10" t="s">
        <v>9</v>
      </c>
      <c r="B10">
        <v>0</v>
      </c>
      <c r="C10" t="s">
        <v>65</v>
      </c>
      <c r="D10" t="s">
        <v>155</v>
      </c>
      <c r="E10" s="6">
        <v>0.3901024087578111</v>
      </c>
      <c r="F10" s="6"/>
      <c r="G10" s="6">
        <v>0.17191412126732897</v>
      </c>
      <c r="H10" s="6"/>
      <c r="I10" s="6">
        <v>0.3844185019290503</v>
      </c>
      <c r="J10" s="6">
        <v>0.55210978358236751</v>
      </c>
      <c r="K10" t="s">
        <v>149</v>
      </c>
    </row>
    <row r="11" spans="1:11" ht="23.1" customHeight="1">
      <c r="A11" t="s">
        <v>9</v>
      </c>
      <c r="B11">
        <v>0</v>
      </c>
      <c r="C11" t="s">
        <v>65</v>
      </c>
      <c r="D11" t="s">
        <v>156</v>
      </c>
      <c r="E11" s="6">
        <v>0.28569538507277736</v>
      </c>
      <c r="F11" s="6"/>
      <c r="G11" s="6">
        <v>0.11624021156788764</v>
      </c>
      <c r="H11" s="6"/>
      <c r="I11" s="6">
        <v>0.29015544041450775</v>
      </c>
      <c r="J11" s="6">
        <v>0.42784958964406922</v>
      </c>
      <c r="K11" t="s">
        <v>149</v>
      </c>
    </row>
    <row r="12" spans="1:11" ht="23.1" customHeight="1">
      <c r="A12" t="s">
        <v>9</v>
      </c>
      <c r="B12">
        <v>0</v>
      </c>
      <c r="C12" t="s">
        <v>65</v>
      </c>
      <c r="D12" t="s">
        <v>157</v>
      </c>
      <c r="E12" s="6">
        <v>0.25439684992195732</v>
      </c>
      <c r="F12" s="6"/>
      <c r="G12" s="6">
        <v>0.11846431555402201</v>
      </c>
      <c r="H12" s="6"/>
      <c r="I12" s="6">
        <v>0.22842639593908629</v>
      </c>
      <c r="J12" s="6">
        <v>0.38900929980188098</v>
      </c>
      <c r="K12" t="s">
        <v>149</v>
      </c>
    </row>
    <row r="13" spans="1:11" ht="23.1" customHeight="1">
      <c r="A13" t="s">
        <v>9</v>
      </c>
      <c r="B13">
        <v>0</v>
      </c>
      <c r="C13" t="s">
        <v>65</v>
      </c>
      <c r="D13" t="s">
        <v>158</v>
      </c>
      <c r="E13" s="6">
        <v>0.10998513090022455</v>
      </c>
      <c r="F13" s="6"/>
      <c r="G13" s="6">
        <v>4.6314945128991085E-2</v>
      </c>
      <c r="H13" s="6"/>
      <c r="I13" s="6">
        <v>0.10256410256410256</v>
      </c>
      <c r="J13" s="6">
        <v>0.32564730339133141</v>
      </c>
      <c r="K13" t="s">
        <v>149</v>
      </c>
    </row>
    <row r="14" spans="1:11" ht="23.1" customHeight="1">
      <c r="A14" t="s">
        <v>9</v>
      </c>
      <c r="B14">
        <v>0</v>
      </c>
      <c r="C14" t="s">
        <v>65</v>
      </c>
      <c r="D14" t="s">
        <v>159</v>
      </c>
      <c r="E14" s="6">
        <v>0.3702062051827853</v>
      </c>
      <c r="F14" s="6"/>
      <c r="G14" s="6">
        <v>0.14780381973825704</v>
      </c>
      <c r="H14" s="6"/>
      <c r="I14" s="6">
        <v>0.41860465116279072</v>
      </c>
      <c r="J14" s="6">
        <v>0.41918274352478241</v>
      </c>
      <c r="K14" t="s">
        <v>149</v>
      </c>
    </row>
    <row r="15" spans="1:11" ht="23.1" customHeight="1">
      <c r="A15" t="s">
        <v>9</v>
      </c>
      <c r="B15">
        <v>0</v>
      </c>
      <c r="C15" t="s">
        <v>65</v>
      </c>
      <c r="D15" t="s">
        <v>160</v>
      </c>
      <c r="E15" s="6">
        <v>0.2078553354289811</v>
      </c>
      <c r="F15" s="6"/>
      <c r="G15" s="6">
        <v>6.1827657953262484E-2</v>
      </c>
      <c r="H15" s="6"/>
      <c r="I15" s="6">
        <v>0.18947368421052632</v>
      </c>
      <c r="J15" s="6">
        <v>0.42519622129890233</v>
      </c>
      <c r="K15" t="s">
        <v>149</v>
      </c>
    </row>
    <row r="16" spans="1:11" ht="23.1" customHeight="1">
      <c r="A16" t="s">
        <v>9</v>
      </c>
      <c r="B16">
        <v>0</v>
      </c>
      <c r="C16" t="s">
        <v>65</v>
      </c>
      <c r="D16" t="s">
        <v>161</v>
      </c>
      <c r="E16" s="6">
        <v>0.67335524475524466</v>
      </c>
      <c r="F16" s="6"/>
      <c r="G16" s="6">
        <v>0.29933798446954074</v>
      </c>
      <c r="H16" s="6"/>
      <c r="I16" s="6">
        <v>0.66666666666666663</v>
      </c>
      <c r="J16" s="6">
        <v>0.67898423177954359</v>
      </c>
      <c r="K16" t="s">
        <v>149</v>
      </c>
    </row>
    <row r="17" spans="1:11" ht="23.1" customHeight="1">
      <c r="A17" t="s">
        <v>9</v>
      </c>
      <c r="B17">
        <v>0</v>
      </c>
      <c r="C17" t="s">
        <v>65</v>
      </c>
      <c r="D17" t="s">
        <v>162</v>
      </c>
      <c r="E17" s="6">
        <v>0.28271896052818613</v>
      </c>
      <c r="F17" s="6"/>
      <c r="G17" s="6">
        <v>0.11186882097814579</v>
      </c>
      <c r="H17" s="6"/>
      <c r="I17" s="6">
        <v>0.27652733118971062</v>
      </c>
      <c r="J17" s="6">
        <v>0.39856490940644129</v>
      </c>
      <c r="K17" t="s">
        <v>149</v>
      </c>
    </row>
    <row r="18" spans="1:11" ht="23.1" customHeight="1">
      <c r="A18" t="s">
        <v>9</v>
      </c>
      <c r="B18">
        <v>1</v>
      </c>
      <c r="C18" t="s">
        <v>65</v>
      </c>
      <c r="D18" t="s">
        <v>148</v>
      </c>
      <c r="E18" s="6">
        <v>0.9191808292318937</v>
      </c>
      <c r="F18" s="6"/>
      <c r="G18" s="6">
        <v>0.58608569968308066</v>
      </c>
      <c r="H18" s="6"/>
      <c r="I18" s="6">
        <v>0.92307692307692313</v>
      </c>
      <c r="J18" s="6">
        <v>0.74504527775157792</v>
      </c>
      <c r="K18" t="s">
        <v>149</v>
      </c>
    </row>
    <row r="19" spans="1:11" ht="23.1" customHeight="1">
      <c r="A19" t="s">
        <v>9</v>
      </c>
      <c r="B19">
        <v>1</v>
      </c>
      <c r="C19" t="s">
        <v>65</v>
      </c>
      <c r="D19" t="s">
        <v>150</v>
      </c>
      <c r="E19" s="6">
        <v>0.30552024672278832</v>
      </c>
      <c r="F19" s="6"/>
      <c r="G19" s="6">
        <v>0.12819285011936374</v>
      </c>
      <c r="H19" s="6"/>
      <c r="I19" s="6">
        <v>0.2857142857142857</v>
      </c>
      <c r="J19" s="6">
        <v>0.53651374931209039</v>
      </c>
      <c r="K19" t="s">
        <v>149</v>
      </c>
    </row>
    <row r="20" spans="1:11" ht="23.1" customHeight="1">
      <c r="A20" t="s">
        <v>9</v>
      </c>
      <c r="B20">
        <v>1</v>
      </c>
      <c r="C20" t="s">
        <v>65</v>
      </c>
      <c r="D20" t="s">
        <v>151</v>
      </c>
      <c r="E20" s="6">
        <v>0.17696897959240587</v>
      </c>
      <c r="F20" s="6"/>
      <c r="G20" s="6">
        <v>6.7789484997080415E-2</v>
      </c>
      <c r="H20" s="6"/>
      <c r="I20" s="6">
        <v>0.16901408450704225</v>
      </c>
      <c r="J20" s="6">
        <v>0.30212592578084857</v>
      </c>
      <c r="K20" t="s">
        <v>149</v>
      </c>
    </row>
    <row r="21" spans="1:11" ht="23.1" customHeight="1">
      <c r="A21" t="s">
        <v>9</v>
      </c>
      <c r="B21">
        <v>1</v>
      </c>
      <c r="C21" t="s">
        <v>65</v>
      </c>
      <c r="D21" t="s">
        <v>152</v>
      </c>
      <c r="E21" s="6">
        <v>0.91860685934168462</v>
      </c>
      <c r="F21" s="6"/>
      <c r="G21" s="6">
        <v>0.62601530631846336</v>
      </c>
      <c r="H21" s="6"/>
      <c r="I21" s="6">
        <v>0.92113923467439673</v>
      </c>
      <c r="J21" s="6">
        <v>0.78796959563916624</v>
      </c>
      <c r="K21" t="s">
        <v>149</v>
      </c>
    </row>
    <row r="22" spans="1:11" ht="23.1" customHeight="1">
      <c r="A22" t="s">
        <v>9</v>
      </c>
      <c r="B22">
        <v>1</v>
      </c>
      <c r="C22" t="s">
        <v>65</v>
      </c>
      <c r="D22" t="s">
        <v>153</v>
      </c>
      <c r="E22" s="6">
        <v>0.44757334086252859</v>
      </c>
      <c r="F22" s="6"/>
      <c r="G22" s="6">
        <v>0.18683438645278511</v>
      </c>
      <c r="H22" s="6"/>
      <c r="I22" s="6">
        <v>0.55263157894736847</v>
      </c>
      <c r="J22" s="6">
        <v>0.39382066440645797</v>
      </c>
      <c r="K22" t="s">
        <v>149</v>
      </c>
    </row>
    <row r="23" spans="1:11" ht="23.1" customHeight="1">
      <c r="A23" t="s">
        <v>9</v>
      </c>
      <c r="B23">
        <v>1</v>
      </c>
      <c r="C23" t="s">
        <v>65</v>
      </c>
      <c r="D23" t="s">
        <v>154</v>
      </c>
      <c r="E23" s="6">
        <v>0.28607829058623407</v>
      </c>
      <c r="F23" s="6"/>
      <c r="G23" s="6">
        <v>0.13076309088812182</v>
      </c>
      <c r="H23" s="6"/>
      <c r="I23" s="6">
        <v>0.36923076923076925</v>
      </c>
      <c r="J23" s="6">
        <v>0.30022710648714673</v>
      </c>
      <c r="K23" t="s">
        <v>149</v>
      </c>
    </row>
    <row r="24" spans="1:11" ht="23.1" customHeight="1">
      <c r="A24" t="s">
        <v>9</v>
      </c>
      <c r="B24">
        <v>1</v>
      </c>
      <c r="C24" t="s">
        <v>65</v>
      </c>
      <c r="D24" t="s">
        <v>155</v>
      </c>
      <c r="E24" s="6">
        <v>0.40882934626853273</v>
      </c>
      <c r="F24" s="6"/>
      <c r="G24" s="6">
        <v>0.1734951031656233</v>
      </c>
      <c r="H24" s="6"/>
      <c r="I24" s="6">
        <v>0.34762585729329737</v>
      </c>
      <c r="J24" s="6">
        <v>0.57390379494944854</v>
      </c>
      <c r="K24" t="s">
        <v>149</v>
      </c>
    </row>
    <row r="25" spans="1:11" ht="23.1" customHeight="1">
      <c r="A25" t="s">
        <v>9</v>
      </c>
      <c r="B25">
        <v>1</v>
      </c>
      <c r="C25" t="s">
        <v>65</v>
      </c>
      <c r="D25" t="s">
        <v>156</v>
      </c>
      <c r="E25" s="6">
        <v>0.26135726675219939</v>
      </c>
      <c r="F25" s="6"/>
      <c r="G25" s="6">
        <v>0.10824230151877241</v>
      </c>
      <c r="H25" s="6"/>
      <c r="I25" s="6">
        <v>0.28523229313564818</v>
      </c>
      <c r="J25" s="6">
        <v>0.35276960191463291</v>
      </c>
      <c r="K25" t="s">
        <v>149</v>
      </c>
    </row>
    <row r="26" spans="1:11" ht="23.1" customHeight="1">
      <c r="A26" t="s">
        <v>9</v>
      </c>
      <c r="B26">
        <v>1</v>
      </c>
      <c r="C26" t="s">
        <v>65</v>
      </c>
      <c r="D26" t="s">
        <v>157</v>
      </c>
      <c r="E26" s="6">
        <v>0.26450556675961734</v>
      </c>
      <c r="F26" s="6"/>
      <c r="G26" s="6">
        <v>0.11573408733546028</v>
      </c>
      <c r="H26" s="6"/>
      <c r="I26" s="6">
        <v>0.233502538071066</v>
      </c>
      <c r="J26" s="6">
        <v>0.41582415236313475</v>
      </c>
      <c r="K26" t="s">
        <v>149</v>
      </c>
    </row>
    <row r="27" spans="1:11" ht="23.1" customHeight="1">
      <c r="A27" t="s">
        <v>9</v>
      </c>
      <c r="B27">
        <v>1</v>
      </c>
      <c r="C27" t="s">
        <v>65</v>
      </c>
      <c r="D27" t="s">
        <v>158</v>
      </c>
      <c r="E27" s="6">
        <v>0.13479617327771098</v>
      </c>
      <c r="F27" s="6"/>
      <c r="G27" s="6">
        <v>4.5290389693568509E-2</v>
      </c>
      <c r="H27" s="6"/>
      <c r="I27" s="6">
        <v>0.14358974358974358</v>
      </c>
      <c r="J27" s="6">
        <v>0.31405415377739326</v>
      </c>
      <c r="K27" t="s">
        <v>149</v>
      </c>
    </row>
    <row r="28" spans="1:11" ht="23.1" customHeight="1">
      <c r="A28" t="s">
        <v>9</v>
      </c>
      <c r="B28">
        <v>1</v>
      </c>
      <c r="C28" t="s">
        <v>65</v>
      </c>
      <c r="D28" t="s">
        <v>159</v>
      </c>
      <c r="E28" s="6">
        <v>0.37291202069731022</v>
      </c>
      <c r="F28" s="6"/>
      <c r="G28" s="6">
        <v>0.15709415019403938</v>
      </c>
      <c r="H28" s="6"/>
      <c r="I28" s="6">
        <v>0.37930201489280779</v>
      </c>
      <c r="J28" s="6">
        <v>0.41755818786143345</v>
      </c>
      <c r="K28" t="s">
        <v>149</v>
      </c>
    </row>
    <row r="29" spans="1:11" ht="23.1" customHeight="1">
      <c r="A29" t="s">
        <v>9</v>
      </c>
      <c r="B29">
        <v>1</v>
      </c>
      <c r="C29" t="s">
        <v>65</v>
      </c>
      <c r="D29" t="s">
        <v>160</v>
      </c>
      <c r="E29" s="6">
        <v>0.23866258018931052</v>
      </c>
      <c r="F29" s="6"/>
      <c r="G29" s="6">
        <v>7.5292737702738033E-2</v>
      </c>
      <c r="H29" s="6"/>
      <c r="I29" s="6">
        <v>0.23684210526315788</v>
      </c>
      <c r="J29" s="6">
        <v>0.38954860935079827</v>
      </c>
      <c r="K29" t="s">
        <v>149</v>
      </c>
    </row>
    <row r="30" spans="1:11" ht="23.1" customHeight="1">
      <c r="A30" t="s">
        <v>9</v>
      </c>
      <c r="B30">
        <v>1</v>
      </c>
      <c r="C30" t="s">
        <v>65</v>
      </c>
      <c r="D30" t="s">
        <v>161</v>
      </c>
      <c r="E30" s="6">
        <v>0.62959413675515186</v>
      </c>
      <c r="F30" s="6"/>
      <c r="G30" s="6">
        <v>0.29540823111534337</v>
      </c>
      <c r="H30" s="6"/>
      <c r="I30" s="6">
        <v>0.55970863573477947</v>
      </c>
      <c r="J30" s="6">
        <v>0.54487252813396603</v>
      </c>
      <c r="K30" t="s">
        <v>149</v>
      </c>
    </row>
    <row r="31" spans="1:11" ht="23.1" customHeight="1">
      <c r="A31" t="s">
        <v>9</v>
      </c>
      <c r="B31">
        <v>1</v>
      </c>
      <c r="C31" t="s">
        <v>65</v>
      </c>
      <c r="D31" t="s">
        <v>162</v>
      </c>
      <c r="E31" s="6">
        <v>0.28339079136112477</v>
      </c>
      <c r="F31" s="6"/>
      <c r="G31" s="6">
        <v>0.1059239085205165</v>
      </c>
      <c r="H31" s="6"/>
      <c r="I31" s="6">
        <v>0.2934854587330008</v>
      </c>
      <c r="J31" s="6">
        <v>0.40160099239838859</v>
      </c>
      <c r="K31" t="s">
        <v>149</v>
      </c>
    </row>
    <row r="32" spans="1:11" ht="23.1" customHeight="1">
      <c r="A32" t="s">
        <v>9</v>
      </c>
      <c r="B32">
        <v>2</v>
      </c>
      <c r="C32" t="s">
        <v>65</v>
      </c>
      <c r="D32" t="s">
        <v>148</v>
      </c>
      <c r="E32" s="6">
        <v>0.92053972296294129</v>
      </c>
      <c r="F32" s="6"/>
      <c r="G32" s="6">
        <v>0.5926827822023405</v>
      </c>
      <c r="H32" s="6"/>
      <c r="I32" s="6">
        <v>0.92615384615384611</v>
      </c>
      <c r="J32" s="6">
        <v>0.71631509936489846</v>
      </c>
      <c r="K32" t="s">
        <v>149</v>
      </c>
    </row>
    <row r="33" spans="1:11" ht="23.1" customHeight="1">
      <c r="A33" t="s">
        <v>9</v>
      </c>
      <c r="B33">
        <v>2</v>
      </c>
      <c r="C33" t="s">
        <v>65</v>
      </c>
      <c r="D33" t="s">
        <v>150</v>
      </c>
      <c r="E33" s="6">
        <v>0.25887095490137935</v>
      </c>
      <c r="F33" s="6"/>
      <c r="G33" s="6">
        <v>0.12292425913518393</v>
      </c>
      <c r="H33" s="6"/>
      <c r="I33" s="6">
        <v>0.19047619047619047</v>
      </c>
      <c r="J33" s="6">
        <v>0.30303173850461324</v>
      </c>
      <c r="K33" t="s">
        <v>149</v>
      </c>
    </row>
    <row r="34" spans="1:11" ht="23.1" customHeight="1">
      <c r="A34" t="s">
        <v>9</v>
      </c>
      <c r="B34">
        <v>2</v>
      </c>
      <c r="C34" t="s">
        <v>65</v>
      </c>
      <c r="D34" t="s">
        <v>151</v>
      </c>
      <c r="E34" s="6">
        <v>0.20589470830914261</v>
      </c>
      <c r="F34" s="6"/>
      <c r="G34" s="6">
        <v>8.1434027401309048E-2</v>
      </c>
      <c r="H34" s="6"/>
      <c r="I34" s="6">
        <v>0.22535211267605634</v>
      </c>
      <c r="J34" s="6">
        <v>0.42092498590701727</v>
      </c>
      <c r="K34" t="s">
        <v>149</v>
      </c>
    </row>
    <row r="35" spans="1:11" ht="23.1" customHeight="1">
      <c r="A35" t="s">
        <v>9</v>
      </c>
      <c r="B35">
        <v>2</v>
      </c>
      <c r="C35" t="s">
        <v>65</v>
      </c>
      <c r="D35" t="s">
        <v>152</v>
      </c>
      <c r="E35" s="6">
        <v>0.91215161061825489</v>
      </c>
      <c r="F35" s="6"/>
      <c r="G35" s="6">
        <v>0.62704167883266471</v>
      </c>
      <c r="H35" s="6"/>
      <c r="I35" s="6">
        <v>0.9145299145299145</v>
      </c>
      <c r="J35" s="6">
        <v>0.77349073902342558</v>
      </c>
      <c r="K35" t="s">
        <v>149</v>
      </c>
    </row>
    <row r="36" spans="1:11" ht="23.1" customHeight="1">
      <c r="A36" t="s">
        <v>9</v>
      </c>
      <c r="B36">
        <v>2</v>
      </c>
      <c r="C36" t="s">
        <v>65</v>
      </c>
      <c r="D36" t="s">
        <v>153</v>
      </c>
      <c r="E36" s="6">
        <v>0.41685554342797149</v>
      </c>
      <c r="F36" s="6"/>
      <c r="G36" s="6">
        <v>0.17891747714192288</v>
      </c>
      <c r="H36" s="6"/>
      <c r="I36" s="6">
        <v>0.42105263157894735</v>
      </c>
      <c r="J36" s="6">
        <v>0.31161400077992862</v>
      </c>
      <c r="K36" t="s">
        <v>149</v>
      </c>
    </row>
    <row r="37" spans="1:11" ht="23.1" customHeight="1">
      <c r="A37" t="s">
        <v>9</v>
      </c>
      <c r="B37">
        <v>2</v>
      </c>
      <c r="C37" t="s">
        <v>65</v>
      </c>
      <c r="D37" t="s">
        <v>154</v>
      </c>
      <c r="E37" s="6">
        <v>0.27943608388477181</v>
      </c>
      <c r="F37" s="6"/>
      <c r="G37" s="6">
        <v>0.13212287345453905</v>
      </c>
      <c r="H37" s="6"/>
      <c r="I37" s="6">
        <v>0.32307692307692309</v>
      </c>
      <c r="J37" s="6">
        <v>0.30293883298011037</v>
      </c>
      <c r="K37" t="s">
        <v>149</v>
      </c>
    </row>
    <row r="38" spans="1:11" ht="23.1" customHeight="1">
      <c r="A38" t="s">
        <v>9</v>
      </c>
      <c r="B38">
        <v>2</v>
      </c>
      <c r="C38" t="s">
        <v>65</v>
      </c>
      <c r="D38" t="s">
        <v>155</v>
      </c>
      <c r="E38" s="6">
        <v>0.39120241028456015</v>
      </c>
      <c r="F38" s="6"/>
      <c r="G38" s="6">
        <v>0.16237588334425618</v>
      </c>
      <c r="H38" s="6"/>
      <c r="I38" s="6">
        <v>0.33333333333333331</v>
      </c>
      <c r="J38" s="6">
        <v>0.53928964211228714</v>
      </c>
      <c r="K38" t="s">
        <v>149</v>
      </c>
    </row>
    <row r="39" spans="1:11" ht="23.1" customHeight="1">
      <c r="A39" t="s">
        <v>9</v>
      </c>
      <c r="B39">
        <v>2</v>
      </c>
      <c r="C39" t="s">
        <v>65</v>
      </c>
      <c r="D39" t="s">
        <v>156</v>
      </c>
      <c r="E39" s="6">
        <v>0.27275222879662736</v>
      </c>
      <c r="F39" s="6"/>
      <c r="G39" s="6">
        <v>0.10284370090233819</v>
      </c>
      <c r="H39" s="6"/>
      <c r="I39" s="6">
        <v>0.32124352331606215</v>
      </c>
      <c r="J39" s="6">
        <v>0.39360978037161726</v>
      </c>
      <c r="K39" t="s">
        <v>149</v>
      </c>
    </row>
    <row r="40" spans="1:11" ht="23.1" customHeight="1">
      <c r="A40" t="s">
        <v>9</v>
      </c>
      <c r="B40">
        <v>2</v>
      </c>
      <c r="C40" t="s">
        <v>65</v>
      </c>
      <c r="D40" t="s">
        <v>157</v>
      </c>
      <c r="E40" s="6">
        <v>0.2763276865321157</v>
      </c>
      <c r="F40" s="6"/>
      <c r="G40" s="6">
        <v>0.12745622778568855</v>
      </c>
      <c r="H40" s="6"/>
      <c r="I40" s="6">
        <v>0.27324545410723666</v>
      </c>
      <c r="J40" s="6">
        <v>0.4052471521001893</v>
      </c>
      <c r="K40" t="s">
        <v>149</v>
      </c>
    </row>
    <row r="41" spans="1:11" ht="23.1" customHeight="1">
      <c r="A41" t="s">
        <v>9</v>
      </c>
      <c r="B41">
        <v>2</v>
      </c>
      <c r="C41" t="s">
        <v>65</v>
      </c>
      <c r="D41" t="s">
        <v>158</v>
      </c>
      <c r="E41" s="6">
        <v>0.11926772556612714</v>
      </c>
      <c r="F41" s="6"/>
      <c r="G41" s="6">
        <v>4.4877645472314417E-2</v>
      </c>
      <c r="H41" s="6"/>
      <c r="I41" s="6">
        <v>0.10256410256410256</v>
      </c>
      <c r="J41" s="6">
        <v>0.24613993371833282</v>
      </c>
      <c r="K41" t="s">
        <v>149</v>
      </c>
    </row>
    <row r="42" spans="1:11" ht="23.1" customHeight="1">
      <c r="A42" t="s">
        <v>9</v>
      </c>
      <c r="B42">
        <v>2</v>
      </c>
      <c r="C42" t="s">
        <v>65</v>
      </c>
      <c r="D42" t="s">
        <v>159</v>
      </c>
      <c r="E42" s="6">
        <v>0.36089090900979659</v>
      </c>
      <c r="F42" s="6"/>
      <c r="G42" s="6">
        <v>0.14795914260352641</v>
      </c>
      <c r="H42" s="6"/>
      <c r="I42" s="6">
        <v>0.38953488372093026</v>
      </c>
      <c r="J42" s="6">
        <v>0.4446886936803699</v>
      </c>
      <c r="K42" t="s">
        <v>149</v>
      </c>
    </row>
    <row r="43" spans="1:11" ht="23.1" customHeight="1">
      <c r="A43" t="s">
        <v>9</v>
      </c>
      <c r="B43">
        <v>2</v>
      </c>
      <c r="C43" t="s">
        <v>65</v>
      </c>
      <c r="D43" t="s">
        <v>160</v>
      </c>
      <c r="E43" s="6">
        <v>0.20152051926904629</v>
      </c>
      <c r="F43" s="6"/>
      <c r="G43" s="6">
        <v>6.3543030075737458E-2</v>
      </c>
      <c r="H43" s="6"/>
      <c r="I43" s="6">
        <v>0.21588949370116209</v>
      </c>
      <c r="J43" s="6">
        <v>0.38328661169420319</v>
      </c>
      <c r="K43" t="s">
        <v>149</v>
      </c>
    </row>
    <row r="44" spans="1:11" ht="23.1" customHeight="1">
      <c r="A44" t="s">
        <v>9</v>
      </c>
      <c r="B44">
        <v>2</v>
      </c>
      <c r="C44" t="s">
        <v>65</v>
      </c>
      <c r="D44" t="s">
        <v>161</v>
      </c>
      <c r="E44" s="6">
        <v>0.5971961162965348</v>
      </c>
      <c r="F44" s="6"/>
      <c r="G44" s="6">
        <v>0.32276093264523925</v>
      </c>
      <c r="H44" s="6"/>
      <c r="I44" s="6">
        <v>0.66666666666666663</v>
      </c>
      <c r="J44" s="6">
        <v>0.53651573641791606</v>
      </c>
      <c r="K44" t="s">
        <v>149</v>
      </c>
    </row>
    <row r="45" spans="1:11" ht="23.1" customHeight="1">
      <c r="A45" t="s">
        <v>9</v>
      </c>
      <c r="B45">
        <v>2</v>
      </c>
      <c r="C45" t="s">
        <v>65</v>
      </c>
      <c r="D45" t="s">
        <v>162</v>
      </c>
      <c r="E45" s="6">
        <v>0.30131970632779614</v>
      </c>
      <c r="F45" s="6"/>
      <c r="G45" s="6">
        <v>0.11494432528217446</v>
      </c>
      <c r="H45" s="6"/>
      <c r="I45" s="6">
        <v>0.30546623794212219</v>
      </c>
      <c r="J45" s="6">
        <v>0.41559629091824818</v>
      </c>
      <c r="K45" t="s">
        <v>149</v>
      </c>
    </row>
    <row r="46" spans="1:11" ht="23.1" customHeight="1">
      <c r="A46" t="s">
        <v>9</v>
      </c>
      <c r="B46">
        <v>3</v>
      </c>
      <c r="C46" t="s">
        <v>65</v>
      </c>
      <c r="D46" t="s">
        <v>148</v>
      </c>
      <c r="E46" s="6">
        <v>0.91962448678165898</v>
      </c>
      <c r="F46" s="6"/>
      <c r="G46" s="6">
        <v>0.58993404307070985</v>
      </c>
      <c r="H46" s="6"/>
      <c r="I46" s="6">
        <v>0.92548388231667111</v>
      </c>
      <c r="J46" s="6">
        <v>0.74676117365281325</v>
      </c>
      <c r="K46" t="s">
        <v>149</v>
      </c>
    </row>
    <row r="47" spans="1:11" ht="23.1" customHeight="1">
      <c r="A47" t="s">
        <v>9</v>
      </c>
      <c r="B47">
        <v>3</v>
      </c>
      <c r="C47" t="s">
        <v>65</v>
      </c>
      <c r="D47" t="s">
        <v>150</v>
      </c>
      <c r="E47" s="6">
        <v>0.2071778951763702</v>
      </c>
      <c r="F47" s="6"/>
      <c r="G47" s="6">
        <v>7.9527843865878245E-2</v>
      </c>
      <c r="H47" s="6"/>
      <c r="I47" s="6">
        <v>0.19047619047619047</v>
      </c>
      <c r="J47" s="6">
        <v>0.35971160093557919</v>
      </c>
      <c r="K47" t="s">
        <v>149</v>
      </c>
    </row>
    <row r="48" spans="1:11" ht="23.1" customHeight="1">
      <c r="A48" t="s">
        <v>9</v>
      </c>
      <c r="B48">
        <v>3</v>
      </c>
      <c r="C48" t="s">
        <v>65</v>
      </c>
      <c r="D48" t="s">
        <v>151</v>
      </c>
      <c r="E48" s="6">
        <v>0.12257366918681921</v>
      </c>
      <c r="F48" s="6"/>
      <c r="G48" s="6">
        <v>5.2416074331472849E-2</v>
      </c>
      <c r="H48" s="6"/>
      <c r="I48" s="6">
        <v>0.14084507042253522</v>
      </c>
      <c r="J48" s="6">
        <v>0.21488087249987511</v>
      </c>
      <c r="K48" t="s">
        <v>149</v>
      </c>
    </row>
    <row r="49" spans="1:11" ht="23.1" customHeight="1">
      <c r="A49" t="s">
        <v>9</v>
      </c>
      <c r="B49">
        <v>3</v>
      </c>
      <c r="C49" t="s">
        <v>65</v>
      </c>
      <c r="D49" t="s">
        <v>152</v>
      </c>
      <c r="E49" s="6">
        <v>0.91349781419187226</v>
      </c>
      <c r="F49" s="6"/>
      <c r="G49" s="6">
        <v>0.62648938242358054</v>
      </c>
      <c r="H49" s="6"/>
      <c r="I49" s="6">
        <v>0.90170940170940173</v>
      </c>
      <c r="J49" s="6">
        <v>0.7891506983374621</v>
      </c>
      <c r="K49" t="s">
        <v>149</v>
      </c>
    </row>
    <row r="50" spans="1:11" ht="23.1" customHeight="1">
      <c r="A50" t="s">
        <v>9</v>
      </c>
      <c r="B50">
        <v>3</v>
      </c>
      <c r="C50" t="s">
        <v>65</v>
      </c>
      <c r="D50" t="s">
        <v>153</v>
      </c>
      <c r="E50" s="6">
        <v>0.37127636826105898</v>
      </c>
      <c r="F50" s="6"/>
      <c r="G50" s="6">
        <v>0.1843951122313699</v>
      </c>
      <c r="H50" s="6"/>
      <c r="I50" s="6">
        <v>0.42105263157894735</v>
      </c>
      <c r="J50" s="6">
        <v>0.40876620963654919</v>
      </c>
      <c r="K50" t="s">
        <v>149</v>
      </c>
    </row>
    <row r="51" spans="1:11" ht="23.1" customHeight="1">
      <c r="A51" t="s">
        <v>9</v>
      </c>
      <c r="B51">
        <v>3</v>
      </c>
      <c r="C51" t="s">
        <v>65</v>
      </c>
      <c r="D51" t="s">
        <v>154</v>
      </c>
      <c r="E51" s="6">
        <v>0.28429243767502582</v>
      </c>
      <c r="F51" s="6"/>
      <c r="G51" s="6">
        <v>0.12383728523689688</v>
      </c>
      <c r="H51" s="6"/>
      <c r="I51" s="6">
        <v>0.41538461538461541</v>
      </c>
      <c r="J51" s="6">
        <v>0.30269657282398815</v>
      </c>
      <c r="K51" t="s">
        <v>149</v>
      </c>
    </row>
    <row r="52" spans="1:11" ht="23.1" customHeight="1">
      <c r="A52" t="s">
        <v>9</v>
      </c>
      <c r="B52">
        <v>3</v>
      </c>
      <c r="C52" t="s">
        <v>65</v>
      </c>
      <c r="D52" t="s">
        <v>155</v>
      </c>
      <c r="E52" s="6">
        <v>0.34347675469327255</v>
      </c>
      <c r="F52" s="6"/>
      <c r="G52" s="6">
        <v>0.15178193199975745</v>
      </c>
      <c r="H52" s="6"/>
      <c r="I52" s="6">
        <v>0.24648979595968096</v>
      </c>
      <c r="J52" s="6">
        <v>0.53403710990310438</v>
      </c>
      <c r="K52" t="s">
        <v>149</v>
      </c>
    </row>
    <row r="53" spans="1:11" ht="23.1" customHeight="1">
      <c r="A53" t="s">
        <v>9</v>
      </c>
      <c r="B53">
        <v>3</v>
      </c>
      <c r="C53" t="s">
        <v>65</v>
      </c>
      <c r="D53" t="s">
        <v>156</v>
      </c>
      <c r="E53" s="6">
        <v>0.26466391115415799</v>
      </c>
      <c r="F53" s="6"/>
      <c r="G53" s="6">
        <v>0.11111826585553013</v>
      </c>
      <c r="H53" s="6"/>
      <c r="I53" s="6">
        <v>0.27461139896373055</v>
      </c>
      <c r="J53" s="6">
        <v>0.38799920090212836</v>
      </c>
      <c r="K53" t="s">
        <v>149</v>
      </c>
    </row>
    <row r="54" spans="1:11" ht="23.1" customHeight="1">
      <c r="A54" t="s">
        <v>9</v>
      </c>
      <c r="B54">
        <v>3</v>
      </c>
      <c r="C54" t="s">
        <v>65</v>
      </c>
      <c r="D54" t="s">
        <v>157</v>
      </c>
      <c r="E54" s="6">
        <v>0.25824487844560462</v>
      </c>
      <c r="F54" s="6"/>
      <c r="G54" s="6">
        <v>0.11977987716800147</v>
      </c>
      <c r="H54" s="6"/>
      <c r="I54" s="6">
        <v>0.26395939086294418</v>
      </c>
      <c r="J54" s="6">
        <v>0.41160635436206461</v>
      </c>
      <c r="K54" t="s">
        <v>149</v>
      </c>
    </row>
    <row r="55" spans="1:11" ht="23.1" customHeight="1">
      <c r="A55" t="s">
        <v>9</v>
      </c>
      <c r="B55">
        <v>3</v>
      </c>
      <c r="C55" t="s">
        <v>65</v>
      </c>
      <c r="D55" t="s">
        <v>158</v>
      </c>
      <c r="E55" s="6">
        <v>0.11506099144009767</v>
      </c>
      <c r="F55" s="6"/>
      <c r="G55" s="6">
        <v>3.9538536511576197E-2</v>
      </c>
      <c r="H55" s="6"/>
      <c r="I55" s="6">
        <v>0.12307692307692308</v>
      </c>
      <c r="J55" s="6">
        <v>0.28198673087668796</v>
      </c>
      <c r="K55" t="s">
        <v>149</v>
      </c>
    </row>
    <row r="56" spans="1:11" ht="23.1" customHeight="1">
      <c r="A56" t="s">
        <v>9</v>
      </c>
      <c r="B56">
        <v>3</v>
      </c>
      <c r="C56" t="s">
        <v>65</v>
      </c>
      <c r="D56" t="s">
        <v>159</v>
      </c>
      <c r="E56" s="6">
        <v>0.4100981494613587</v>
      </c>
      <c r="F56" s="6"/>
      <c r="G56" s="6">
        <v>0.16100077832479992</v>
      </c>
      <c r="H56" s="6"/>
      <c r="I56" s="6">
        <v>0.40116279069767441</v>
      </c>
      <c r="J56" s="6">
        <v>0.4512130500304401</v>
      </c>
      <c r="K56" t="s">
        <v>149</v>
      </c>
    </row>
    <row r="57" spans="1:11" ht="23.1" customHeight="1">
      <c r="A57" t="s">
        <v>9</v>
      </c>
      <c r="B57">
        <v>3</v>
      </c>
      <c r="C57" t="s">
        <v>65</v>
      </c>
      <c r="D57" t="s">
        <v>160</v>
      </c>
      <c r="E57" s="6">
        <v>0.19692310553751341</v>
      </c>
      <c r="F57" s="6"/>
      <c r="G57" s="6">
        <v>6.2524625845806883E-2</v>
      </c>
      <c r="H57" s="6"/>
      <c r="I57" s="6">
        <v>0.18947368421052632</v>
      </c>
      <c r="J57" s="6">
        <v>0.38065582815791799</v>
      </c>
      <c r="K57" t="s">
        <v>149</v>
      </c>
    </row>
    <row r="58" spans="1:11" ht="23.1" customHeight="1">
      <c r="A58" t="s">
        <v>9</v>
      </c>
      <c r="B58">
        <v>3</v>
      </c>
      <c r="C58" t="s">
        <v>65</v>
      </c>
      <c r="D58" t="s">
        <v>161</v>
      </c>
      <c r="E58" s="6">
        <v>0.5686811961004874</v>
      </c>
      <c r="F58" s="6"/>
      <c r="G58" s="6">
        <v>0.30652171565115993</v>
      </c>
      <c r="H58" s="6"/>
      <c r="I58" s="6">
        <v>0.53333333333333333</v>
      </c>
      <c r="J58" s="6">
        <v>0.71789571889829207</v>
      </c>
      <c r="K58" t="s">
        <v>149</v>
      </c>
    </row>
    <row r="59" spans="1:11" ht="23.1" customHeight="1">
      <c r="A59" t="s">
        <v>9</v>
      </c>
      <c r="B59">
        <v>3</v>
      </c>
      <c r="C59" t="s">
        <v>65</v>
      </c>
      <c r="D59" t="s">
        <v>162</v>
      </c>
      <c r="E59" s="6">
        <v>0.30697417470424315</v>
      </c>
      <c r="F59" s="6"/>
      <c r="G59" s="6">
        <v>0.11436105041312276</v>
      </c>
      <c r="H59" s="6"/>
      <c r="I59" s="6">
        <v>0.31832797427652731</v>
      </c>
      <c r="J59" s="6">
        <v>0.45212448265355049</v>
      </c>
      <c r="K59" t="s">
        <v>149</v>
      </c>
    </row>
    <row r="60" spans="1:11" ht="23.1" customHeight="1">
      <c r="A60" t="s">
        <v>9</v>
      </c>
      <c r="B60">
        <v>4</v>
      </c>
      <c r="C60" t="s">
        <v>65</v>
      </c>
      <c r="D60" t="s">
        <v>148</v>
      </c>
      <c r="E60" s="6">
        <v>0.92418277431822693</v>
      </c>
      <c r="F60" s="6"/>
      <c r="G60" s="6">
        <v>0.59284666609334813</v>
      </c>
      <c r="H60" s="6"/>
      <c r="I60" s="6">
        <v>0.92</v>
      </c>
      <c r="J60" s="6">
        <v>0.72133375031794889</v>
      </c>
      <c r="K60" t="s">
        <v>149</v>
      </c>
    </row>
    <row r="61" spans="1:11" ht="23.1" customHeight="1">
      <c r="A61" t="s">
        <v>9</v>
      </c>
      <c r="B61">
        <v>4</v>
      </c>
      <c r="C61" t="s">
        <v>65</v>
      </c>
      <c r="D61" t="s">
        <v>150</v>
      </c>
      <c r="E61" s="6">
        <v>0.29898163451933712</v>
      </c>
      <c r="F61" s="6"/>
      <c r="G61" s="6">
        <v>0.10771389997512767</v>
      </c>
      <c r="H61" s="6"/>
      <c r="I61" s="6">
        <v>0.23809523809523808</v>
      </c>
      <c r="J61" s="6">
        <v>0.467462734483509</v>
      </c>
      <c r="K61" t="s">
        <v>149</v>
      </c>
    </row>
    <row r="62" spans="1:11" ht="23.1" customHeight="1">
      <c r="A62" t="s">
        <v>9</v>
      </c>
      <c r="B62">
        <v>4</v>
      </c>
      <c r="C62" t="s">
        <v>65</v>
      </c>
      <c r="D62" t="s">
        <v>151</v>
      </c>
      <c r="E62" s="6">
        <v>0.16043308668346146</v>
      </c>
      <c r="F62" s="6"/>
      <c r="G62" s="6">
        <v>6.8633790879337492E-2</v>
      </c>
      <c r="H62" s="6"/>
      <c r="I62" s="6">
        <v>0.25352112676056338</v>
      </c>
      <c r="J62" s="6">
        <v>0.36552666970446462</v>
      </c>
      <c r="K62" t="s">
        <v>149</v>
      </c>
    </row>
    <row r="63" spans="1:11" ht="23.1" customHeight="1">
      <c r="A63" t="s">
        <v>9</v>
      </c>
      <c r="B63">
        <v>4</v>
      </c>
      <c r="C63" t="s">
        <v>65</v>
      </c>
      <c r="D63" t="s">
        <v>152</v>
      </c>
      <c r="E63" s="6">
        <v>0.91914423420649383</v>
      </c>
      <c r="F63" s="6"/>
      <c r="G63" s="6">
        <v>0.62846399417049947</v>
      </c>
      <c r="H63" s="6"/>
      <c r="I63" s="6">
        <v>0.91025641025641024</v>
      </c>
      <c r="J63" s="6">
        <v>0.78460026592155785</v>
      </c>
      <c r="K63" t="s">
        <v>149</v>
      </c>
    </row>
    <row r="64" spans="1:11" ht="23.1" customHeight="1">
      <c r="A64" t="s">
        <v>9</v>
      </c>
      <c r="B64">
        <v>4</v>
      </c>
      <c r="C64" t="s">
        <v>65</v>
      </c>
      <c r="D64" t="s">
        <v>153</v>
      </c>
      <c r="E64" s="6">
        <v>0.34609874147126651</v>
      </c>
      <c r="F64" s="6"/>
      <c r="G64" s="6">
        <v>0.14663568933327958</v>
      </c>
      <c r="H64" s="6"/>
      <c r="I64" s="6">
        <v>0.42105263157894735</v>
      </c>
      <c r="J64" s="6">
        <v>0.36032094335035847</v>
      </c>
      <c r="K64" t="s">
        <v>149</v>
      </c>
    </row>
    <row r="65" spans="1:11" ht="23.1" customHeight="1">
      <c r="A65" t="s">
        <v>9</v>
      </c>
      <c r="B65">
        <v>4</v>
      </c>
      <c r="C65" t="s">
        <v>65</v>
      </c>
      <c r="D65" t="s">
        <v>154</v>
      </c>
      <c r="E65" s="6">
        <v>0.28597075601529365</v>
      </c>
      <c r="F65" s="6"/>
      <c r="G65" s="6">
        <v>0.1402535801634073</v>
      </c>
      <c r="H65" s="6"/>
      <c r="I65" s="6">
        <v>0.35384615384615387</v>
      </c>
      <c r="J65" s="6">
        <v>0.29379820531170353</v>
      </c>
      <c r="K65" t="s">
        <v>149</v>
      </c>
    </row>
    <row r="66" spans="1:11" ht="23.1" customHeight="1">
      <c r="A66" t="s">
        <v>9</v>
      </c>
      <c r="B66">
        <v>4</v>
      </c>
      <c r="C66" t="s">
        <v>65</v>
      </c>
      <c r="D66" t="s">
        <v>155</v>
      </c>
      <c r="E66" s="6">
        <v>0.35866618607523981</v>
      </c>
      <c r="F66" s="6"/>
      <c r="G66" s="6">
        <v>0.1396915644558942</v>
      </c>
      <c r="H66" s="6"/>
      <c r="I66" s="6">
        <v>0.34106127165866273</v>
      </c>
      <c r="J66" s="6">
        <v>0.52236127039983971</v>
      </c>
      <c r="K66" t="s">
        <v>149</v>
      </c>
    </row>
    <row r="67" spans="1:11" ht="23.1" customHeight="1">
      <c r="A67" t="s">
        <v>9</v>
      </c>
      <c r="B67">
        <v>4</v>
      </c>
      <c r="C67" t="s">
        <v>65</v>
      </c>
      <c r="D67" t="s">
        <v>156</v>
      </c>
      <c r="E67" s="6">
        <v>0.24739719988708392</v>
      </c>
      <c r="F67" s="6"/>
      <c r="G67" s="6">
        <v>0.10510666974099861</v>
      </c>
      <c r="H67" s="6"/>
      <c r="I67" s="6">
        <v>0.28497409326424872</v>
      </c>
      <c r="J67" s="6">
        <v>0.362807410082429</v>
      </c>
      <c r="K67" t="s">
        <v>149</v>
      </c>
    </row>
    <row r="68" spans="1:11" ht="23.1" customHeight="1">
      <c r="A68" t="s">
        <v>9</v>
      </c>
      <c r="B68">
        <v>4</v>
      </c>
      <c r="C68" t="s">
        <v>65</v>
      </c>
      <c r="D68" t="s">
        <v>157</v>
      </c>
      <c r="E68" s="6">
        <v>0.27647497100049045</v>
      </c>
      <c r="F68" s="6"/>
      <c r="G68" s="6">
        <v>0.12183845240896019</v>
      </c>
      <c r="H68" s="6"/>
      <c r="I68" s="6">
        <v>0.28426395939086296</v>
      </c>
      <c r="J68" s="6">
        <v>0.44760573042008062</v>
      </c>
      <c r="K68" t="s">
        <v>149</v>
      </c>
    </row>
    <row r="69" spans="1:11" ht="23.1" customHeight="1">
      <c r="A69" t="s">
        <v>9</v>
      </c>
      <c r="B69">
        <v>4</v>
      </c>
      <c r="C69" t="s">
        <v>65</v>
      </c>
      <c r="D69" t="s">
        <v>158</v>
      </c>
      <c r="E69" s="6">
        <v>0.13441672666704804</v>
      </c>
      <c r="F69" s="6"/>
      <c r="G69" s="6">
        <v>5.5127300228870205E-2</v>
      </c>
      <c r="H69" s="6"/>
      <c r="I69" s="6">
        <v>0.11282051282051282</v>
      </c>
      <c r="J69" s="6">
        <v>0.2772314517975577</v>
      </c>
      <c r="K69" t="s">
        <v>149</v>
      </c>
    </row>
    <row r="70" spans="1:11" ht="23.1" customHeight="1">
      <c r="A70" t="s">
        <v>9</v>
      </c>
      <c r="B70">
        <v>4</v>
      </c>
      <c r="C70" t="s">
        <v>65</v>
      </c>
      <c r="D70" t="s">
        <v>159</v>
      </c>
      <c r="E70" s="6">
        <v>0.40879130246031214</v>
      </c>
      <c r="F70" s="6"/>
      <c r="G70" s="6">
        <v>0.16147692866927979</v>
      </c>
      <c r="H70" s="6"/>
      <c r="I70" s="6">
        <v>0.43604651162790697</v>
      </c>
      <c r="J70" s="6">
        <v>0.46883564974655134</v>
      </c>
      <c r="K70" t="s">
        <v>149</v>
      </c>
    </row>
    <row r="71" spans="1:11" ht="23.1" customHeight="1">
      <c r="A71" t="s">
        <v>9</v>
      </c>
      <c r="B71">
        <v>4</v>
      </c>
      <c r="C71" t="s">
        <v>65</v>
      </c>
      <c r="D71" t="s">
        <v>160</v>
      </c>
      <c r="E71" s="6">
        <v>0.22810737986933283</v>
      </c>
      <c r="F71" s="6"/>
      <c r="G71" s="6">
        <v>6.9405341365558954E-2</v>
      </c>
      <c r="H71" s="6"/>
      <c r="I71" s="6">
        <v>0.23327922832415565</v>
      </c>
      <c r="J71" s="6">
        <v>0.39111852819224829</v>
      </c>
      <c r="K71" t="s">
        <v>149</v>
      </c>
    </row>
    <row r="72" spans="1:11" ht="23.1" customHeight="1">
      <c r="A72" t="s">
        <v>9</v>
      </c>
      <c r="B72">
        <v>4</v>
      </c>
      <c r="C72" t="s">
        <v>65</v>
      </c>
      <c r="D72" t="s">
        <v>161</v>
      </c>
      <c r="E72" s="6">
        <v>0.7313092691622104</v>
      </c>
      <c r="F72" s="6"/>
      <c r="G72" s="6">
        <v>0.38114893113985404</v>
      </c>
      <c r="H72" s="6"/>
      <c r="I72" s="6">
        <v>0.70944089054515813</v>
      </c>
      <c r="J72" s="6">
        <v>0.63915323584214789</v>
      </c>
      <c r="K72" t="s">
        <v>149</v>
      </c>
    </row>
    <row r="73" spans="1:11" ht="23.1" customHeight="1">
      <c r="A73" t="s">
        <v>9</v>
      </c>
      <c r="B73">
        <v>4</v>
      </c>
      <c r="C73" t="s">
        <v>65</v>
      </c>
      <c r="D73" t="s">
        <v>162</v>
      </c>
      <c r="E73" s="6">
        <v>0.28790773301487721</v>
      </c>
      <c r="F73" s="6"/>
      <c r="G73" s="6">
        <v>0.10784376842857187</v>
      </c>
      <c r="H73" s="6"/>
      <c r="I73" s="6">
        <v>0.32475884244372988</v>
      </c>
      <c r="J73" s="6">
        <v>0.39069751431839428</v>
      </c>
      <c r="K73" t="s">
        <v>149</v>
      </c>
    </row>
    <row r="74" spans="1:11" ht="23.1" customHeight="1">
      <c r="A74" t="s">
        <v>23</v>
      </c>
      <c r="B74">
        <v>0</v>
      </c>
      <c r="C74" t="s">
        <v>65</v>
      </c>
      <c r="D74" t="s">
        <v>148</v>
      </c>
      <c r="E74">
        <v>0.8970999999999999</v>
      </c>
      <c r="G74">
        <v>0.56409999999999993</v>
      </c>
      <c r="I74">
        <v>0.90049999999999997</v>
      </c>
      <c r="J74">
        <v>0.74340000000000006</v>
      </c>
      <c r="K74" t="s">
        <v>163</v>
      </c>
    </row>
    <row r="75" spans="1:11" ht="23.1" customHeight="1">
      <c r="A75" s="9" t="s">
        <v>23</v>
      </c>
      <c r="B75" s="9">
        <v>0</v>
      </c>
      <c r="C75" s="9" t="s">
        <v>65</v>
      </c>
      <c r="D75" s="9" t="s">
        <v>150</v>
      </c>
      <c r="E75" s="9">
        <v>0.18170000000000003</v>
      </c>
      <c r="F75" s="9"/>
      <c r="G75" s="9">
        <v>6.2600000000000003E-2</v>
      </c>
      <c r="H75" s="9"/>
      <c r="I75" s="9">
        <v>0.1905</v>
      </c>
      <c r="J75" s="9">
        <v>0.19440000000000002</v>
      </c>
      <c r="K75" s="9" t="s">
        <v>163</v>
      </c>
    </row>
    <row r="76" spans="1:11" ht="23.1" customHeight="1">
      <c r="A76" t="s">
        <v>23</v>
      </c>
      <c r="B76">
        <v>0</v>
      </c>
      <c r="C76" t="s">
        <v>65</v>
      </c>
      <c r="D76" t="s">
        <v>151</v>
      </c>
      <c r="E76">
        <v>0.11650000000000001</v>
      </c>
      <c r="G76">
        <v>3.8900000000000004E-2</v>
      </c>
      <c r="I76">
        <v>0.18309999999999998</v>
      </c>
      <c r="J76">
        <v>0.22620000000000001</v>
      </c>
      <c r="K76" t="s">
        <v>163</v>
      </c>
    </row>
    <row r="77" spans="1:11" ht="27.95" customHeight="1">
      <c r="A77" s="8" t="s">
        <v>23</v>
      </c>
      <c r="B77" s="8">
        <v>0</v>
      </c>
      <c r="C77" s="8" t="s">
        <v>65</v>
      </c>
      <c r="D77" s="8" t="s">
        <v>152</v>
      </c>
      <c r="E77" s="8">
        <v>0.91170000000000007</v>
      </c>
      <c r="F77" s="8"/>
      <c r="G77" s="8">
        <v>0.62270000000000003</v>
      </c>
      <c r="H77" s="8"/>
      <c r="I77" s="8">
        <v>0.90170000000000006</v>
      </c>
      <c r="J77" s="8">
        <v>0.74390000000000001</v>
      </c>
      <c r="K77" s="8" t="s">
        <v>163</v>
      </c>
    </row>
    <row r="78" spans="1:11" ht="23.1" customHeight="1">
      <c r="A78" t="s">
        <v>23</v>
      </c>
      <c r="B78">
        <v>0</v>
      </c>
      <c r="C78" s="6" t="s">
        <v>65</v>
      </c>
      <c r="D78" s="6" t="s">
        <v>153</v>
      </c>
      <c r="E78" s="6">
        <v>0.33110000000000001</v>
      </c>
      <c r="F78" s="6"/>
      <c r="G78" s="6">
        <v>0.1067</v>
      </c>
      <c r="H78" s="6"/>
      <c r="I78" s="6">
        <v>0.44740000000000002</v>
      </c>
      <c r="J78" s="6">
        <v>0.33169999999999999</v>
      </c>
      <c r="K78" t="s">
        <v>163</v>
      </c>
    </row>
    <row r="79" spans="1:11" ht="23.1" customHeight="1">
      <c r="A79" t="s">
        <v>23</v>
      </c>
      <c r="B79">
        <v>0</v>
      </c>
      <c r="C79" s="6" t="s">
        <v>65</v>
      </c>
      <c r="D79" s="6" t="s">
        <v>154</v>
      </c>
      <c r="E79" s="6">
        <v>0.20280000000000001</v>
      </c>
      <c r="F79" s="6"/>
      <c r="G79" s="6">
        <v>7.46E-2</v>
      </c>
      <c r="H79" s="6"/>
      <c r="I79" s="6">
        <v>0.17920000000000003</v>
      </c>
      <c r="J79" s="6">
        <v>0.33600000000000002</v>
      </c>
      <c r="K79" t="s">
        <v>163</v>
      </c>
    </row>
    <row r="80" spans="1:11" ht="23.1" customHeight="1">
      <c r="A80" t="s">
        <v>23</v>
      </c>
      <c r="B80">
        <v>0</v>
      </c>
      <c r="C80" s="6" t="s">
        <v>65</v>
      </c>
      <c r="D80" s="6" t="s">
        <v>155</v>
      </c>
      <c r="E80" s="6">
        <v>0.22719999999999999</v>
      </c>
      <c r="F80" s="6"/>
      <c r="G80" s="6">
        <v>8.5699999999999998E-2</v>
      </c>
      <c r="H80" s="6"/>
      <c r="I80" s="6">
        <v>0.20430000000000001</v>
      </c>
      <c r="J80" s="6">
        <v>0.32450000000000001</v>
      </c>
      <c r="K80" t="s">
        <v>163</v>
      </c>
    </row>
    <row r="81" spans="1:11" ht="23.1" customHeight="1">
      <c r="A81" t="s">
        <v>23</v>
      </c>
      <c r="B81">
        <v>0</v>
      </c>
      <c r="C81" s="6" t="s">
        <v>65</v>
      </c>
      <c r="D81" s="6" t="s">
        <v>156</v>
      </c>
      <c r="E81" s="6">
        <v>0.17910000000000001</v>
      </c>
      <c r="F81" s="6"/>
      <c r="G81" s="6">
        <v>7.4099999999999999E-2</v>
      </c>
      <c r="H81" s="6"/>
      <c r="I81" s="6">
        <v>0.26419999999999999</v>
      </c>
      <c r="J81" s="6">
        <v>0.3115</v>
      </c>
      <c r="K81" t="s">
        <v>163</v>
      </c>
    </row>
    <row r="82" spans="1:11" ht="23.1" customHeight="1">
      <c r="A82" t="s">
        <v>23</v>
      </c>
      <c r="B82">
        <v>0</v>
      </c>
      <c r="C82" s="6" t="s">
        <v>65</v>
      </c>
      <c r="D82" s="6" t="s">
        <v>157</v>
      </c>
      <c r="E82" s="6">
        <v>0.18920000000000001</v>
      </c>
      <c r="F82" s="6"/>
      <c r="G82" s="6">
        <v>7.2300000000000003E-2</v>
      </c>
      <c r="H82" s="6"/>
      <c r="I82" s="6">
        <v>0.21829999999999999</v>
      </c>
      <c r="J82" s="6">
        <v>0.33799999999999997</v>
      </c>
      <c r="K82" t="s">
        <v>163</v>
      </c>
    </row>
    <row r="83" spans="1:11" ht="23.1" customHeight="1">
      <c r="A83" t="s">
        <v>23</v>
      </c>
      <c r="B83">
        <v>0</v>
      </c>
      <c r="C83" s="6" t="s">
        <v>65</v>
      </c>
      <c r="D83" s="6" t="s">
        <v>158</v>
      </c>
      <c r="E83" s="6">
        <v>6.4899999999999999E-2</v>
      </c>
      <c r="F83" s="6"/>
      <c r="G83" s="6">
        <v>2.2799999999999997E-2</v>
      </c>
      <c r="H83" s="6"/>
      <c r="I83" s="6">
        <v>6.1500000000000006E-2</v>
      </c>
      <c r="J83" s="6">
        <v>0.28370000000000001</v>
      </c>
      <c r="K83" t="s">
        <v>163</v>
      </c>
    </row>
    <row r="84" spans="1:11" ht="23.1" customHeight="1">
      <c r="A84" t="s">
        <v>23</v>
      </c>
      <c r="B84">
        <v>0</v>
      </c>
      <c r="C84" s="6" t="s">
        <v>65</v>
      </c>
      <c r="D84" s="6" t="s">
        <v>159</v>
      </c>
      <c r="E84" s="6">
        <v>0.29320000000000002</v>
      </c>
      <c r="F84" s="6"/>
      <c r="G84" s="6">
        <v>0.1188</v>
      </c>
      <c r="H84" s="6"/>
      <c r="I84" s="6">
        <v>0.42909999999999998</v>
      </c>
      <c r="J84" s="6">
        <v>0.34039999999999998</v>
      </c>
      <c r="K84" t="s">
        <v>163</v>
      </c>
    </row>
    <row r="85" spans="1:11" ht="23.1" customHeight="1">
      <c r="A85" t="s">
        <v>23</v>
      </c>
      <c r="B85">
        <v>0</v>
      </c>
      <c r="C85" s="6" t="s">
        <v>65</v>
      </c>
      <c r="D85" s="6" t="s">
        <v>160</v>
      </c>
      <c r="E85" s="6">
        <v>0.17859999999999998</v>
      </c>
      <c r="F85" s="6"/>
      <c r="G85" s="6">
        <v>5.4199999999999998E-2</v>
      </c>
      <c r="H85" s="6"/>
      <c r="I85" s="6">
        <v>0.1895</v>
      </c>
      <c r="J85" s="6">
        <v>0.33889999999999998</v>
      </c>
      <c r="K85" t="s">
        <v>163</v>
      </c>
    </row>
    <row r="86" spans="1:11" ht="23.1" customHeight="1">
      <c r="A86" t="s">
        <v>23</v>
      </c>
      <c r="B86">
        <v>0</v>
      </c>
      <c r="C86" s="6" t="s">
        <v>65</v>
      </c>
      <c r="D86" s="6" t="s">
        <v>161</v>
      </c>
      <c r="E86" s="6">
        <v>0.21590000000000001</v>
      </c>
      <c r="F86" s="6"/>
      <c r="G86" s="6">
        <v>9.8299999999999998E-2</v>
      </c>
      <c r="H86" s="6"/>
      <c r="I86" s="6">
        <v>0.26669999999999999</v>
      </c>
      <c r="J86" s="6">
        <v>0.28170000000000001</v>
      </c>
      <c r="K86" t="s">
        <v>163</v>
      </c>
    </row>
    <row r="87" spans="1:11" ht="23.1" customHeight="1">
      <c r="A87" t="s">
        <v>23</v>
      </c>
      <c r="B87">
        <v>0</v>
      </c>
      <c r="C87" s="6" t="s">
        <v>65</v>
      </c>
      <c r="D87" s="6" t="s">
        <v>162</v>
      </c>
      <c r="E87" s="6">
        <v>0.20519999999999999</v>
      </c>
      <c r="F87" s="6"/>
      <c r="G87" s="6">
        <v>7.3399999999999993E-2</v>
      </c>
      <c r="H87" s="6"/>
      <c r="I87" s="6">
        <v>0.28300000000000003</v>
      </c>
      <c r="J87" s="6">
        <v>0.27210000000000001</v>
      </c>
      <c r="K87" t="s">
        <v>163</v>
      </c>
    </row>
    <row r="88" spans="1:11" ht="23.1" customHeight="1">
      <c r="A88" t="s">
        <v>159</v>
      </c>
      <c r="B88">
        <v>5</v>
      </c>
      <c r="C88" s="6">
        <v>0.44029566496871542</v>
      </c>
      <c r="D88" s="6">
        <v>2.1884738095693274E-2</v>
      </c>
      <c r="E88" s="6">
        <v>0.40493017042042201</v>
      </c>
      <c r="F88" s="6">
        <v>2.2711387408063274E-2</v>
      </c>
      <c r="G88" s="6">
        <v>0.38457971736231261</v>
      </c>
      <c r="H88" s="6">
        <v>2.3137004282939588E-2</v>
      </c>
      <c r="I88" s="6">
        <v>0.15506696390598051</v>
      </c>
      <c r="J88" s="6">
        <v>6.7764605978891581E-3</v>
      </c>
      <c r="K88" t="s">
        <v>164</v>
      </c>
    </row>
    <row r="89" spans="1:11" ht="23.1" customHeight="1">
      <c r="A89" t="s">
        <v>160</v>
      </c>
      <c r="B89">
        <v>5</v>
      </c>
      <c r="C89" s="6">
        <v>0.39396115973881402</v>
      </c>
      <c r="D89" s="6">
        <v>1.798720413330758E-2</v>
      </c>
      <c r="E89" s="6">
        <v>0.21299163914190566</v>
      </c>
      <c r="F89" s="6">
        <v>2.2885677717647612E-2</v>
      </c>
      <c r="G89" s="6">
        <v>0.21461378405883683</v>
      </c>
      <c r="H89" s="6">
        <v>1.7961709554667277E-2</v>
      </c>
      <c r="I89" s="6">
        <v>6.6518678588620761E-2</v>
      </c>
      <c r="J89" s="6">
        <v>5.7473809537855096E-3</v>
      </c>
      <c r="K89" t="s">
        <v>164</v>
      </c>
    </row>
    <row r="90" spans="1:11" ht="23.1" customHeight="1">
      <c r="A90" t="s">
        <v>161</v>
      </c>
      <c r="B90">
        <v>5</v>
      </c>
      <c r="C90" s="6">
        <v>0.62348429021437313</v>
      </c>
      <c r="D90" s="6">
        <v>8.0595619800017657E-2</v>
      </c>
      <c r="E90" s="6">
        <v>0.62716323858932088</v>
      </c>
      <c r="F90" s="6">
        <v>7.6231273499957772E-2</v>
      </c>
      <c r="G90" s="6">
        <v>0.64002719261392582</v>
      </c>
      <c r="H90" s="6">
        <v>6.4180950308591167E-2</v>
      </c>
      <c r="I90" s="6">
        <v>0.32103555900422748</v>
      </c>
      <c r="J90" s="6">
        <v>3.519513726357474E-2</v>
      </c>
      <c r="K90" t="s">
        <v>164</v>
      </c>
    </row>
    <row r="91" spans="1:11" ht="23.1" customHeight="1">
      <c r="A91" t="s">
        <v>162</v>
      </c>
      <c r="B91">
        <v>5</v>
      </c>
      <c r="C91" s="6">
        <v>0.41171683793900454</v>
      </c>
      <c r="D91" s="6">
        <v>2.4315342005564771E-2</v>
      </c>
      <c r="E91" s="6">
        <v>0.30371316891701816</v>
      </c>
      <c r="F91" s="6">
        <v>1.9385961347324263E-2</v>
      </c>
      <c r="G91" s="6">
        <v>0.29246227318724549</v>
      </c>
      <c r="H91" s="6">
        <v>1.1034232729939874E-2</v>
      </c>
      <c r="I91" s="6">
        <v>0.11098837472450628</v>
      </c>
      <c r="J91" s="6">
        <v>3.9792285184641236E-3</v>
      </c>
      <c r="K91" t="s">
        <v>164</v>
      </c>
    </row>
    <row r="92" spans="1:11" ht="23.1" customHeight="1"/>
    <row r="93" spans="1:11" ht="23.1" customHeight="1"/>
    <row r="94" spans="1:11" ht="23.1" customHeight="1">
      <c r="A94" t="s">
        <v>165</v>
      </c>
    </row>
    <row r="95" spans="1:11" ht="23.1" customHeight="1"/>
    <row r="96" spans="1:11" ht="23.1" customHeight="1"/>
    <row r="97" spans="1:11" ht="23.1" customHeight="1">
      <c r="A97" t="s">
        <v>23</v>
      </c>
      <c r="B97">
        <v>1</v>
      </c>
      <c r="C97" t="s">
        <v>98</v>
      </c>
      <c r="D97" t="s">
        <v>148</v>
      </c>
      <c r="E97">
        <v>0.90368698147206705</v>
      </c>
      <c r="G97">
        <v>0.57349720241404045</v>
      </c>
      <c r="I97">
        <v>0.90153846153846151</v>
      </c>
      <c r="J97">
        <v>0.71058511351360121</v>
      </c>
      <c r="K97" t="s">
        <v>166</v>
      </c>
    </row>
    <row r="98" spans="1:11" ht="23.1" customHeight="1">
      <c r="A98" t="s">
        <v>23</v>
      </c>
      <c r="B98">
        <v>1</v>
      </c>
      <c r="C98" t="s">
        <v>98</v>
      </c>
      <c r="D98" t="s">
        <v>150</v>
      </c>
      <c r="E98">
        <v>0.1058962171540202</v>
      </c>
      <c r="G98">
        <v>5.0981961820649103E-2</v>
      </c>
      <c r="I98">
        <v>0.23809523809523811</v>
      </c>
      <c r="J98">
        <v>0.20746740544315848</v>
      </c>
      <c r="K98" t="s">
        <v>167</v>
      </c>
    </row>
    <row r="99" spans="1:11" ht="23.1" customHeight="1">
      <c r="A99" t="s">
        <v>23</v>
      </c>
      <c r="B99">
        <v>1</v>
      </c>
      <c r="C99" t="s">
        <v>98</v>
      </c>
      <c r="D99" t="s">
        <v>151</v>
      </c>
      <c r="E99">
        <v>9.9083714993391109E-2</v>
      </c>
      <c r="G99">
        <v>3.9217363897043681E-2</v>
      </c>
      <c r="I99">
        <v>0.13993052535830081</v>
      </c>
      <c r="J99">
        <v>0.24875129423921841</v>
      </c>
      <c r="K99" t="s">
        <v>168</v>
      </c>
    </row>
    <row r="100" spans="1:11" ht="23.1" customHeight="1">
      <c r="A100" t="s">
        <v>23</v>
      </c>
      <c r="B100">
        <v>1</v>
      </c>
      <c r="C100" t="s">
        <v>98</v>
      </c>
      <c r="D100" t="s">
        <v>152</v>
      </c>
      <c r="E100">
        <v>0.91457215067665287</v>
      </c>
      <c r="G100">
        <v>0.63076272395971733</v>
      </c>
      <c r="I100">
        <v>0.91025641025641024</v>
      </c>
      <c r="J100">
        <v>0.73539317252335823</v>
      </c>
      <c r="K100" t="s">
        <v>169</v>
      </c>
    </row>
    <row r="101" spans="1:11" ht="23.1" customHeight="1">
      <c r="A101" t="s">
        <v>23</v>
      </c>
      <c r="B101">
        <v>1</v>
      </c>
      <c r="C101" t="s">
        <v>98</v>
      </c>
      <c r="D101" t="s">
        <v>153</v>
      </c>
      <c r="E101">
        <v>0.38030247404499529</v>
      </c>
      <c r="G101">
        <v>0.1459840279826807</v>
      </c>
      <c r="I101">
        <v>0.44736842105263158</v>
      </c>
      <c r="J101">
        <v>0.36805770469623483</v>
      </c>
      <c r="K101" t="s">
        <v>170</v>
      </c>
    </row>
    <row r="102" spans="1:11" ht="23.1" customHeight="1">
      <c r="A102" t="s">
        <v>23</v>
      </c>
      <c r="B102">
        <v>1</v>
      </c>
      <c r="C102" t="s">
        <v>98</v>
      </c>
      <c r="D102" t="s">
        <v>154</v>
      </c>
      <c r="E102">
        <v>0.237764293406445</v>
      </c>
      <c r="G102">
        <v>0.10991658407858861</v>
      </c>
      <c r="I102">
        <v>0.2461538461538462</v>
      </c>
      <c r="J102">
        <v>0.30458922062361471</v>
      </c>
      <c r="K102" t="s">
        <v>171</v>
      </c>
    </row>
    <row r="103" spans="1:11" ht="23.1" customHeight="1">
      <c r="A103" t="s">
        <v>23</v>
      </c>
      <c r="B103">
        <v>1</v>
      </c>
      <c r="C103" t="s">
        <v>98</v>
      </c>
      <c r="D103" t="s">
        <v>155</v>
      </c>
      <c r="E103">
        <v>0.28555462673160731</v>
      </c>
      <c r="G103">
        <v>0.1009613665142914</v>
      </c>
      <c r="I103">
        <v>0.33049963915020003</v>
      </c>
      <c r="J103">
        <v>0.49783988886039843</v>
      </c>
      <c r="K103" t="s">
        <v>172</v>
      </c>
    </row>
    <row r="104" spans="1:11" ht="23.1" customHeight="1">
      <c r="A104" t="s">
        <v>23</v>
      </c>
      <c r="B104">
        <v>1</v>
      </c>
      <c r="C104" t="s">
        <v>98</v>
      </c>
      <c r="D104" t="s">
        <v>156</v>
      </c>
      <c r="E104">
        <v>0.18893052860661178</v>
      </c>
      <c r="G104">
        <v>7.4200049370372528E-2</v>
      </c>
      <c r="I104">
        <v>0.25388601036269431</v>
      </c>
      <c r="J104">
        <v>0.3191658679821483</v>
      </c>
      <c r="K104" t="s">
        <v>173</v>
      </c>
    </row>
    <row r="105" spans="1:11" ht="23.1" customHeight="1">
      <c r="A105" t="s">
        <v>23</v>
      </c>
      <c r="B105">
        <v>1</v>
      </c>
      <c r="C105" t="s">
        <v>98</v>
      </c>
      <c r="D105" t="s">
        <v>157</v>
      </c>
      <c r="E105">
        <v>0.2007039185878739</v>
      </c>
      <c r="G105">
        <v>8.472208663904951E-2</v>
      </c>
      <c r="I105">
        <v>0.2476096264685492</v>
      </c>
      <c r="J105">
        <v>0.3847500012695742</v>
      </c>
      <c r="K105" t="s">
        <v>174</v>
      </c>
    </row>
    <row r="106" spans="1:11" ht="23.1" customHeight="1">
      <c r="A106" t="s">
        <v>23</v>
      </c>
      <c r="B106">
        <v>1</v>
      </c>
      <c r="C106" t="s">
        <v>98</v>
      </c>
      <c r="D106" t="s">
        <v>158</v>
      </c>
      <c r="E106">
        <v>3.8045937269480808E-2</v>
      </c>
      <c r="G106">
        <v>1.553206637643644E-2</v>
      </c>
      <c r="I106">
        <v>2.564102564102564E-2</v>
      </c>
      <c r="J106">
        <v>0.16365125315591311</v>
      </c>
      <c r="K106" t="s">
        <v>175</v>
      </c>
    </row>
    <row r="107" spans="1:11" ht="23.1" customHeight="1">
      <c r="A107" t="s">
        <v>23</v>
      </c>
      <c r="B107">
        <v>1</v>
      </c>
      <c r="C107" t="s">
        <v>98</v>
      </c>
      <c r="D107" t="s">
        <v>159</v>
      </c>
      <c r="E107">
        <v>0.26656605166522968</v>
      </c>
      <c r="G107">
        <v>0.1040647786768531</v>
      </c>
      <c r="I107">
        <v>0.41860465116279072</v>
      </c>
      <c r="J107">
        <v>0.27294056171506081</v>
      </c>
      <c r="K107" t="s">
        <v>176</v>
      </c>
    </row>
    <row r="108" spans="1:11" ht="23.1" customHeight="1">
      <c r="A108" t="s">
        <v>23</v>
      </c>
      <c r="B108">
        <v>1</v>
      </c>
      <c r="C108" t="s">
        <v>98</v>
      </c>
      <c r="D108" t="s">
        <v>160</v>
      </c>
      <c r="E108">
        <v>0.1658103774077333</v>
      </c>
      <c r="G108">
        <v>5.2911494095913454E-2</v>
      </c>
      <c r="I108">
        <v>0.18157894736842109</v>
      </c>
      <c r="J108">
        <v>0.36288593298976329</v>
      </c>
      <c r="K108" t="s">
        <v>177</v>
      </c>
    </row>
    <row r="109" spans="1:11" ht="23.1" customHeight="1">
      <c r="A109" t="s">
        <v>23</v>
      </c>
      <c r="B109">
        <v>1</v>
      </c>
      <c r="C109" t="s">
        <v>98</v>
      </c>
      <c r="D109" t="s">
        <v>161</v>
      </c>
      <c r="E109">
        <v>0.28451025248469791</v>
      </c>
      <c r="G109">
        <v>0.11573157323655441</v>
      </c>
      <c r="I109">
        <v>0.33333333333333326</v>
      </c>
      <c r="J109">
        <v>0.31595350020600138</v>
      </c>
      <c r="K109" t="s">
        <v>178</v>
      </c>
    </row>
    <row r="110" spans="1:11" ht="23.1" customHeight="1">
      <c r="A110" t="s">
        <v>23</v>
      </c>
      <c r="B110">
        <v>1</v>
      </c>
      <c r="C110" t="s">
        <v>98</v>
      </c>
      <c r="D110" t="s">
        <v>162</v>
      </c>
      <c r="E110">
        <v>0.22519963917476912</v>
      </c>
      <c r="G110">
        <v>7.7120359961391313E-2</v>
      </c>
      <c r="I110">
        <v>0.27974276527331193</v>
      </c>
      <c r="J110">
        <v>0.30239752551486487</v>
      </c>
      <c r="K110" t="s">
        <v>179</v>
      </c>
    </row>
    <row r="111" spans="1:11" ht="23.1" customHeight="1">
      <c r="A111" t="s">
        <v>23</v>
      </c>
      <c r="B111">
        <v>2</v>
      </c>
      <c r="C111" t="s">
        <v>98</v>
      </c>
      <c r="D111" t="s">
        <v>148</v>
      </c>
      <c r="E111">
        <v>0.8920346012485324</v>
      </c>
      <c r="G111">
        <v>0.56619364406963524</v>
      </c>
      <c r="I111">
        <v>0.90806216047557409</v>
      </c>
      <c r="J111">
        <v>0.70751818447360693</v>
      </c>
      <c r="K111" t="s">
        <v>166</v>
      </c>
    </row>
    <row r="112" spans="1:11" ht="23.1" customHeight="1">
      <c r="A112" t="s">
        <v>23</v>
      </c>
      <c r="B112">
        <v>2</v>
      </c>
      <c r="C112" t="s">
        <v>98</v>
      </c>
      <c r="D112" t="s">
        <v>150</v>
      </c>
      <c r="E112">
        <v>0.16884098416763499</v>
      </c>
      <c r="G112">
        <v>6.1894167019163421E-2</v>
      </c>
      <c r="I112">
        <v>0.23557016876151732</v>
      </c>
      <c r="J112">
        <v>0.26098722109908207</v>
      </c>
      <c r="K112" t="s">
        <v>167</v>
      </c>
    </row>
    <row r="113" spans="1:11" ht="23.1" customHeight="1">
      <c r="A113" t="s">
        <v>23</v>
      </c>
      <c r="B113">
        <v>2</v>
      </c>
      <c r="C113" t="s">
        <v>98</v>
      </c>
      <c r="D113" t="s">
        <v>151</v>
      </c>
      <c r="E113">
        <v>0.11073756782567809</v>
      </c>
      <c r="G113">
        <v>3.6970087387557318E-2</v>
      </c>
      <c r="I113">
        <v>0.14084507042253519</v>
      </c>
      <c r="J113">
        <v>0.29351556168459791</v>
      </c>
      <c r="K113" t="s">
        <v>168</v>
      </c>
    </row>
    <row r="114" spans="1:11" ht="23.1" customHeight="1">
      <c r="A114" t="s">
        <v>23</v>
      </c>
      <c r="B114">
        <v>2</v>
      </c>
      <c r="C114" t="s">
        <v>98</v>
      </c>
      <c r="D114" t="s">
        <v>152</v>
      </c>
      <c r="E114">
        <v>0.9138876121650551</v>
      </c>
      <c r="G114">
        <v>0.62029801139924712</v>
      </c>
      <c r="I114">
        <v>0.89316239316239321</v>
      </c>
      <c r="J114">
        <v>0.76677370428638625</v>
      </c>
      <c r="K114" t="s">
        <v>169</v>
      </c>
    </row>
    <row r="115" spans="1:11" ht="23.1" customHeight="1">
      <c r="A115" t="s">
        <v>23</v>
      </c>
      <c r="B115">
        <v>2</v>
      </c>
      <c r="C115" t="s">
        <v>98</v>
      </c>
      <c r="D115" t="s">
        <v>153</v>
      </c>
      <c r="E115">
        <v>0.34369056967578437</v>
      </c>
      <c r="G115">
        <v>0.14180540958847909</v>
      </c>
      <c r="I115">
        <v>0.39473684210526322</v>
      </c>
      <c r="J115">
        <v>0.42361940704299561</v>
      </c>
      <c r="K115" t="s">
        <v>170</v>
      </c>
    </row>
    <row r="116" spans="1:11" ht="23.1" customHeight="1">
      <c r="A116" t="s">
        <v>23</v>
      </c>
      <c r="B116">
        <v>2</v>
      </c>
      <c r="C116" t="s">
        <v>98</v>
      </c>
      <c r="D116" t="s">
        <v>154</v>
      </c>
      <c r="E116">
        <v>0.1607603482941623</v>
      </c>
      <c r="G116">
        <v>7.0678649447244363E-2</v>
      </c>
      <c r="I116">
        <v>0.1384615384615385</v>
      </c>
      <c r="J116">
        <v>0.35433717721337155</v>
      </c>
      <c r="K116" t="s">
        <v>171</v>
      </c>
    </row>
    <row r="117" spans="1:11" ht="23.1" customHeight="1">
      <c r="A117" t="s">
        <v>23</v>
      </c>
      <c r="B117">
        <v>2</v>
      </c>
      <c r="C117" t="s">
        <v>98</v>
      </c>
      <c r="D117" t="s">
        <v>155</v>
      </c>
      <c r="E117">
        <v>0.25209254030296679</v>
      </c>
      <c r="G117">
        <v>0.10232794971266052</v>
      </c>
      <c r="I117">
        <v>0.27130782902793482</v>
      </c>
      <c r="J117">
        <v>0.35924009345712421</v>
      </c>
      <c r="K117" t="s">
        <v>172</v>
      </c>
    </row>
    <row r="118" spans="1:11" ht="23.1" customHeight="1">
      <c r="A118" t="s">
        <v>23</v>
      </c>
      <c r="B118">
        <v>2</v>
      </c>
      <c r="C118" t="s">
        <v>98</v>
      </c>
      <c r="D118" t="s">
        <v>156</v>
      </c>
      <c r="E118">
        <v>0.1974362201512424</v>
      </c>
      <c r="G118">
        <v>8.1385977389398304E-2</v>
      </c>
      <c r="I118">
        <v>0.24057222905799239</v>
      </c>
      <c r="J118">
        <v>0.27565911895602602</v>
      </c>
      <c r="K118" t="s">
        <v>173</v>
      </c>
    </row>
    <row r="119" spans="1:11" ht="23.1" customHeight="1">
      <c r="A119" t="s">
        <v>23</v>
      </c>
      <c r="B119">
        <v>2</v>
      </c>
      <c r="C119" t="s">
        <v>98</v>
      </c>
      <c r="D119" t="s">
        <v>157</v>
      </c>
      <c r="E119">
        <v>0.20183799546550107</v>
      </c>
      <c r="G119">
        <v>8.3101483611438362E-2</v>
      </c>
      <c r="I119">
        <v>0.2233502538071066</v>
      </c>
      <c r="J119">
        <v>0.34124960395770398</v>
      </c>
      <c r="K119" t="s">
        <v>174</v>
      </c>
    </row>
    <row r="120" spans="1:11" ht="23.1" customHeight="1">
      <c r="A120" t="s">
        <v>23</v>
      </c>
      <c r="B120">
        <v>2</v>
      </c>
      <c r="C120" t="s">
        <v>98</v>
      </c>
      <c r="D120" t="s">
        <v>158</v>
      </c>
      <c r="E120">
        <v>2.9789904028424397E-2</v>
      </c>
      <c r="G120">
        <v>8.9642656959619642E-3</v>
      </c>
      <c r="I120">
        <v>3.5897435897435888E-2</v>
      </c>
      <c r="J120">
        <v>0.13032220489730889</v>
      </c>
      <c r="K120" t="s">
        <v>175</v>
      </c>
    </row>
    <row r="121" spans="1:11" ht="23.1" customHeight="1">
      <c r="A121" t="s">
        <v>23</v>
      </c>
      <c r="B121">
        <v>2</v>
      </c>
      <c r="C121" t="s">
        <v>98</v>
      </c>
      <c r="D121" t="s">
        <v>159</v>
      </c>
      <c r="E121">
        <v>0.30056441978506432</v>
      </c>
      <c r="G121">
        <v>0.1216122528062082</v>
      </c>
      <c r="I121">
        <v>0.43023255813953493</v>
      </c>
      <c r="J121">
        <v>0.33728433350293424</v>
      </c>
      <c r="K121" t="s">
        <v>176</v>
      </c>
    </row>
    <row r="122" spans="1:11" ht="23.1" customHeight="1">
      <c r="A122" t="s">
        <v>23</v>
      </c>
      <c r="B122">
        <v>2</v>
      </c>
      <c r="C122" t="s">
        <v>98</v>
      </c>
      <c r="D122" t="s">
        <v>160</v>
      </c>
      <c r="E122">
        <v>0.17702775997383122</v>
      </c>
      <c r="G122">
        <v>5.4017778506935697E-2</v>
      </c>
      <c r="I122">
        <v>0.16626775753077661</v>
      </c>
      <c r="J122">
        <v>0.39443437665312203</v>
      </c>
      <c r="K122" t="s">
        <v>177</v>
      </c>
    </row>
    <row r="123" spans="1:11" ht="23.1" customHeight="1">
      <c r="A123" t="s">
        <v>23</v>
      </c>
      <c r="B123">
        <v>2</v>
      </c>
      <c r="C123" t="s">
        <v>98</v>
      </c>
      <c r="D123" t="s">
        <v>161</v>
      </c>
      <c r="E123">
        <v>0.2737510497565564</v>
      </c>
      <c r="G123">
        <v>0.11409914629914869</v>
      </c>
      <c r="I123">
        <v>0.26666666666666672</v>
      </c>
      <c r="J123">
        <v>0.24700051968188061</v>
      </c>
      <c r="K123" t="s">
        <v>178</v>
      </c>
    </row>
    <row r="124" spans="1:11" ht="23.1" customHeight="1">
      <c r="A124" t="s">
        <v>23</v>
      </c>
      <c r="B124">
        <v>2</v>
      </c>
      <c r="C124" t="s">
        <v>98</v>
      </c>
      <c r="D124" t="s">
        <v>162</v>
      </c>
      <c r="E124">
        <v>0.23188415284205022</v>
      </c>
      <c r="G124">
        <v>7.6805367542389785E-2</v>
      </c>
      <c r="I124">
        <v>0.29260450160771712</v>
      </c>
      <c r="J124">
        <v>0.32079698477549184</v>
      </c>
      <c r="K124" t="s">
        <v>179</v>
      </c>
    </row>
    <row r="125" spans="1:11" ht="23.1" customHeight="1">
      <c r="A125" t="s">
        <v>23</v>
      </c>
      <c r="B125">
        <v>3</v>
      </c>
      <c r="C125" t="s">
        <v>98</v>
      </c>
      <c r="D125" t="s">
        <v>148</v>
      </c>
      <c r="E125">
        <v>0.89867605057481792</v>
      </c>
      <c r="G125">
        <v>0.55583998782151167</v>
      </c>
      <c r="I125">
        <v>0.89538461538461533</v>
      </c>
      <c r="J125">
        <v>0.72296363935293939</v>
      </c>
      <c r="K125" t="s">
        <v>166</v>
      </c>
    </row>
    <row r="126" spans="1:11" ht="23.1" customHeight="1">
      <c r="A126" t="s">
        <v>23</v>
      </c>
      <c r="B126">
        <v>3</v>
      </c>
      <c r="C126" t="s">
        <v>98</v>
      </c>
      <c r="D126" t="s">
        <v>150</v>
      </c>
      <c r="E126">
        <v>0.1816827762401533</v>
      </c>
      <c r="G126">
        <v>5.9557430634223432E-2</v>
      </c>
      <c r="I126">
        <v>0.33333333333333326</v>
      </c>
      <c r="J126">
        <v>0.2148747238966629</v>
      </c>
      <c r="K126" t="s">
        <v>167</v>
      </c>
    </row>
    <row r="127" spans="1:11" ht="23.1" customHeight="1">
      <c r="A127" t="s">
        <v>23</v>
      </c>
      <c r="B127">
        <v>3</v>
      </c>
      <c r="C127" t="s">
        <v>98</v>
      </c>
      <c r="D127" t="s">
        <v>151</v>
      </c>
      <c r="E127">
        <v>9.9079327557360888E-2</v>
      </c>
      <c r="G127">
        <v>3.4767341926306997E-2</v>
      </c>
      <c r="I127">
        <v>0.18309859154929581</v>
      </c>
      <c r="J127">
        <v>0.25973750509798199</v>
      </c>
      <c r="K127" t="s">
        <v>168</v>
      </c>
    </row>
    <row r="128" spans="1:11" ht="23.1" customHeight="1">
      <c r="A128" t="s">
        <v>23</v>
      </c>
      <c r="B128">
        <v>3</v>
      </c>
      <c r="C128" t="s">
        <v>98</v>
      </c>
      <c r="D128" t="s">
        <v>152</v>
      </c>
      <c r="E128">
        <v>0.91741368743067686</v>
      </c>
      <c r="G128">
        <v>0.62541280349865569</v>
      </c>
      <c r="I128">
        <v>0.90170940170940173</v>
      </c>
      <c r="J128">
        <v>0.76894964801330712</v>
      </c>
      <c r="K128" t="s">
        <v>169</v>
      </c>
    </row>
    <row r="129" spans="1:11" ht="23.1" customHeight="1">
      <c r="A129" t="s">
        <v>23</v>
      </c>
      <c r="B129">
        <v>3</v>
      </c>
      <c r="C129" t="s">
        <v>98</v>
      </c>
      <c r="D129" t="s">
        <v>153</v>
      </c>
      <c r="E129">
        <v>0.37794605836748429</v>
      </c>
      <c r="G129">
        <v>0.1483094398123542</v>
      </c>
      <c r="I129">
        <v>0.47368421052631582</v>
      </c>
      <c r="J129">
        <v>0.29392149146104812</v>
      </c>
      <c r="K129" t="s">
        <v>170</v>
      </c>
    </row>
    <row r="130" spans="1:11" ht="23.1" customHeight="1">
      <c r="A130" t="s">
        <v>23</v>
      </c>
      <c r="B130">
        <v>3</v>
      </c>
      <c r="C130" t="s">
        <v>98</v>
      </c>
      <c r="D130" t="s">
        <v>154</v>
      </c>
      <c r="E130">
        <v>0.19620298514485959</v>
      </c>
      <c r="G130">
        <v>8.151952847184836E-2</v>
      </c>
      <c r="I130">
        <v>0.2292420961975202</v>
      </c>
      <c r="J130">
        <v>0.32460039798937357</v>
      </c>
      <c r="K130" t="s">
        <v>171</v>
      </c>
    </row>
    <row r="131" spans="1:11" ht="23.1" customHeight="1">
      <c r="A131" t="s">
        <v>23</v>
      </c>
      <c r="B131">
        <v>3</v>
      </c>
      <c r="C131" t="s">
        <v>98</v>
      </c>
      <c r="D131" t="s">
        <v>155</v>
      </c>
      <c r="E131">
        <v>0.24865174894216982</v>
      </c>
      <c r="G131">
        <v>8.3239283830314648E-2</v>
      </c>
      <c r="I131">
        <v>0.2688172043010752</v>
      </c>
      <c r="J131">
        <v>0.31965693456014149</v>
      </c>
      <c r="K131" t="s">
        <v>172</v>
      </c>
    </row>
    <row r="132" spans="1:11" ht="23.1" customHeight="1">
      <c r="A132" t="s">
        <v>23</v>
      </c>
      <c r="B132">
        <v>3</v>
      </c>
      <c r="C132" t="s">
        <v>98</v>
      </c>
      <c r="D132" t="s">
        <v>156</v>
      </c>
      <c r="E132">
        <v>0.21401629552550488</v>
      </c>
      <c r="G132">
        <v>8.292079291845221E-2</v>
      </c>
      <c r="I132">
        <v>0.2746113989637306</v>
      </c>
      <c r="J132">
        <v>0.27344204288536228</v>
      </c>
      <c r="K132" t="s">
        <v>173</v>
      </c>
    </row>
    <row r="133" spans="1:11" ht="23.1" customHeight="1">
      <c r="A133" t="s">
        <v>23</v>
      </c>
      <c r="B133">
        <v>3</v>
      </c>
      <c r="C133" t="s">
        <v>98</v>
      </c>
      <c r="D133" t="s">
        <v>157</v>
      </c>
      <c r="E133">
        <v>0.2266776765178789</v>
      </c>
      <c r="G133">
        <v>0.1000593928576871</v>
      </c>
      <c r="I133">
        <v>0.22842639593908629</v>
      </c>
      <c r="J133">
        <v>0.38039618986139795</v>
      </c>
      <c r="K133" t="s">
        <v>174</v>
      </c>
    </row>
    <row r="134" spans="1:11" ht="23.1" customHeight="1">
      <c r="A134" t="s">
        <v>23</v>
      </c>
      <c r="B134">
        <v>3</v>
      </c>
      <c r="C134" t="s">
        <v>98</v>
      </c>
      <c r="D134" t="s">
        <v>158</v>
      </c>
      <c r="E134">
        <v>4.1731063979894192E-2</v>
      </c>
      <c r="G134">
        <v>1.3253102515397699E-2</v>
      </c>
      <c r="I134">
        <v>4.1025641025641019E-2</v>
      </c>
      <c r="J134">
        <v>0.1234107711251327</v>
      </c>
      <c r="K134" t="s">
        <v>175</v>
      </c>
    </row>
    <row r="135" spans="1:11" ht="23.1" customHeight="1">
      <c r="A135" t="s">
        <v>23</v>
      </c>
      <c r="B135">
        <v>3</v>
      </c>
      <c r="C135" t="s">
        <v>98</v>
      </c>
      <c r="D135" t="s">
        <v>159</v>
      </c>
      <c r="E135">
        <v>0.30346741888557599</v>
      </c>
      <c r="G135">
        <v>0.11815821386419371</v>
      </c>
      <c r="I135">
        <v>0.43604651162790703</v>
      </c>
      <c r="J135">
        <v>0.30066838600015439</v>
      </c>
      <c r="K135" t="s">
        <v>176</v>
      </c>
    </row>
    <row r="136" spans="1:11" ht="23.1" customHeight="1">
      <c r="A136" t="s">
        <v>23</v>
      </c>
      <c r="B136">
        <v>3</v>
      </c>
      <c r="C136" t="s">
        <v>98</v>
      </c>
      <c r="D136" t="s">
        <v>160</v>
      </c>
      <c r="E136">
        <v>0.17722407207657639</v>
      </c>
      <c r="G136">
        <v>5.8261776071435747E-2</v>
      </c>
      <c r="I136">
        <v>0.18157894736842109</v>
      </c>
      <c r="J136">
        <v>0.34118976235430959</v>
      </c>
      <c r="K136" t="s">
        <v>177</v>
      </c>
    </row>
    <row r="137" spans="1:11" ht="23.1" customHeight="1">
      <c r="A137" t="s">
        <v>23</v>
      </c>
      <c r="B137">
        <v>3</v>
      </c>
      <c r="C137" t="s">
        <v>98</v>
      </c>
      <c r="D137" t="s">
        <v>161</v>
      </c>
      <c r="E137">
        <v>0.27908045977011492</v>
      </c>
      <c r="G137">
        <v>0.11465606265494699</v>
      </c>
      <c r="I137">
        <v>0.33333333333333326</v>
      </c>
      <c r="J137">
        <v>0.23580226024892639</v>
      </c>
      <c r="K137" t="s">
        <v>178</v>
      </c>
    </row>
    <row r="138" spans="1:11" ht="23.1" customHeight="1">
      <c r="A138" t="s">
        <v>23</v>
      </c>
      <c r="B138">
        <v>3</v>
      </c>
      <c r="C138" t="s">
        <v>98</v>
      </c>
      <c r="D138" t="s">
        <v>162</v>
      </c>
      <c r="E138">
        <v>0.22175562668893281</v>
      </c>
      <c r="G138">
        <v>7.9368767704110429E-2</v>
      </c>
      <c r="I138">
        <v>0.28295819935691319</v>
      </c>
      <c r="J138">
        <v>0.30458715821092952</v>
      </c>
      <c r="K138" t="s">
        <v>179</v>
      </c>
    </row>
    <row r="139" spans="1:11" ht="23.1" customHeight="1">
      <c r="A139" t="s">
        <v>23</v>
      </c>
      <c r="B139">
        <v>4</v>
      </c>
      <c r="C139" t="s">
        <v>98</v>
      </c>
      <c r="D139" t="s">
        <v>148</v>
      </c>
      <c r="E139">
        <v>0.89771740879780992</v>
      </c>
      <c r="G139">
        <v>0.57133230479903285</v>
      </c>
      <c r="I139">
        <v>0.90153846153846151</v>
      </c>
      <c r="J139">
        <v>0.71971096550859526</v>
      </c>
      <c r="K139" t="s">
        <v>166</v>
      </c>
    </row>
    <row r="140" spans="1:11" ht="23.1" customHeight="1">
      <c r="A140" t="s">
        <v>23</v>
      </c>
      <c r="B140">
        <v>4</v>
      </c>
      <c r="C140" t="s">
        <v>98</v>
      </c>
      <c r="D140" t="s">
        <v>150</v>
      </c>
      <c r="E140">
        <v>0.17727404954502832</v>
      </c>
      <c r="G140">
        <v>7.6172974190258091E-2</v>
      </c>
      <c r="I140">
        <v>0.19047619047619052</v>
      </c>
      <c r="J140">
        <v>0.2056054624350778</v>
      </c>
      <c r="K140" t="s">
        <v>167</v>
      </c>
    </row>
    <row r="141" spans="1:11" ht="23.1" customHeight="1">
      <c r="A141" t="s">
        <v>23</v>
      </c>
      <c r="B141">
        <v>4</v>
      </c>
      <c r="C141" t="s">
        <v>98</v>
      </c>
      <c r="D141" t="s">
        <v>151</v>
      </c>
      <c r="E141">
        <v>0.1351523679917756</v>
      </c>
      <c r="G141">
        <v>4.1486380193552955E-2</v>
      </c>
      <c r="I141">
        <v>0.14759891071787912</v>
      </c>
      <c r="J141">
        <v>0.36777266982444523</v>
      </c>
      <c r="K141" t="s">
        <v>168</v>
      </c>
    </row>
    <row r="142" spans="1:11" ht="23.1" customHeight="1">
      <c r="A142" t="s">
        <v>23</v>
      </c>
      <c r="B142">
        <v>4</v>
      </c>
      <c r="C142" t="s">
        <v>98</v>
      </c>
      <c r="D142" t="s">
        <v>152</v>
      </c>
      <c r="E142">
        <v>0.92585123304653394</v>
      </c>
      <c r="G142">
        <v>0.63353749546073945</v>
      </c>
      <c r="I142">
        <v>0.91880341880341876</v>
      </c>
      <c r="J142">
        <v>0.7591039286642649</v>
      </c>
      <c r="K142" t="s">
        <v>169</v>
      </c>
    </row>
    <row r="143" spans="1:11" ht="23.1" customHeight="1">
      <c r="A143" t="s">
        <v>23</v>
      </c>
      <c r="B143">
        <v>4</v>
      </c>
      <c r="C143" t="s">
        <v>98</v>
      </c>
      <c r="D143" t="s">
        <v>153</v>
      </c>
      <c r="E143">
        <v>0.37304224753783966</v>
      </c>
      <c r="G143">
        <v>0.14725590811784561</v>
      </c>
      <c r="I143">
        <v>0.36842105263157893</v>
      </c>
      <c r="J143">
        <v>0.36466583005156872</v>
      </c>
      <c r="K143" t="s">
        <v>170</v>
      </c>
    </row>
    <row r="144" spans="1:11" ht="23.1" customHeight="1">
      <c r="A144" t="s">
        <v>23</v>
      </c>
      <c r="B144">
        <v>4</v>
      </c>
      <c r="C144" t="s">
        <v>98</v>
      </c>
      <c r="D144" t="s">
        <v>154</v>
      </c>
      <c r="E144">
        <v>0.19402026962097491</v>
      </c>
      <c r="G144">
        <v>8.3745335900139203E-2</v>
      </c>
      <c r="I144">
        <v>0.1846153846153846</v>
      </c>
      <c r="J144">
        <v>0.3013959640326615</v>
      </c>
      <c r="K144" t="s">
        <v>171</v>
      </c>
    </row>
    <row r="145" spans="1:11" ht="23.1" customHeight="1">
      <c r="A145" t="s">
        <v>23</v>
      </c>
      <c r="B145">
        <v>4</v>
      </c>
      <c r="C145" t="s">
        <v>98</v>
      </c>
      <c r="D145" t="s">
        <v>155</v>
      </c>
      <c r="E145">
        <v>0.26249194971958001</v>
      </c>
      <c r="G145">
        <v>9.1320596561455608E-2</v>
      </c>
      <c r="I145">
        <v>0.264959437952068</v>
      </c>
      <c r="J145">
        <v>0.33918929433371992</v>
      </c>
      <c r="K145" t="s">
        <v>172</v>
      </c>
    </row>
    <row r="146" spans="1:11" ht="23.1" customHeight="1">
      <c r="A146" t="s">
        <v>23</v>
      </c>
      <c r="B146">
        <v>4</v>
      </c>
      <c r="C146" t="s">
        <v>98</v>
      </c>
      <c r="D146" t="s">
        <v>156</v>
      </c>
      <c r="E146">
        <v>0.18375821451506621</v>
      </c>
      <c r="G146">
        <v>7.1075680227160404E-2</v>
      </c>
      <c r="I146">
        <v>0.26943005181347152</v>
      </c>
      <c r="J146">
        <v>0.25843445895439349</v>
      </c>
      <c r="K146" t="s">
        <v>173</v>
      </c>
    </row>
    <row r="147" spans="1:11" ht="23.1" customHeight="1">
      <c r="A147" t="s">
        <v>23</v>
      </c>
      <c r="B147">
        <v>4</v>
      </c>
      <c r="C147" t="s">
        <v>98</v>
      </c>
      <c r="D147" t="s">
        <v>157</v>
      </c>
      <c r="E147">
        <v>0.1792883683253223</v>
      </c>
      <c r="G147">
        <v>7.8660211373554972E-2</v>
      </c>
      <c r="I147">
        <v>0.18415414401995117</v>
      </c>
      <c r="J147">
        <v>0.44633039547378311</v>
      </c>
      <c r="K147" t="s">
        <v>174</v>
      </c>
    </row>
    <row r="148" spans="1:11" ht="23.1" customHeight="1">
      <c r="A148" t="s">
        <v>23</v>
      </c>
      <c r="B148">
        <v>4</v>
      </c>
      <c r="C148" t="s">
        <v>98</v>
      </c>
      <c r="D148" t="s">
        <v>158</v>
      </c>
      <c r="E148">
        <v>4.3206955188509664E-2</v>
      </c>
      <c r="G148">
        <v>1.3833283593634321E-2</v>
      </c>
      <c r="I148">
        <v>6.1538461538461542E-2</v>
      </c>
      <c r="J148">
        <v>0.22479938287207721</v>
      </c>
      <c r="K148" t="s">
        <v>175</v>
      </c>
    </row>
    <row r="149" spans="1:11" ht="23.1" customHeight="1">
      <c r="A149" t="s">
        <v>23</v>
      </c>
      <c r="B149">
        <v>4</v>
      </c>
      <c r="C149" t="s">
        <v>98</v>
      </c>
      <c r="D149" t="s">
        <v>159</v>
      </c>
      <c r="E149">
        <v>0.24485707139501131</v>
      </c>
      <c r="G149">
        <v>0.10245820408621119</v>
      </c>
      <c r="I149">
        <v>0.41896222119587462</v>
      </c>
      <c r="J149">
        <v>0.27709346278499558</v>
      </c>
      <c r="K149" t="s">
        <v>176</v>
      </c>
    </row>
    <row r="150" spans="1:11" ht="23.1" customHeight="1">
      <c r="A150" t="s">
        <v>23</v>
      </c>
      <c r="B150">
        <v>4</v>
      </c>
      <c r="C150" t="s">
        <v>98</v>
      </c>
      <c r="D150" t="s">
        <v>160</v>
      </c>
      <c r="E150">
        <v>0.14304434688302869</v>
      </c>
      <c r="G150">
        <v>4.6132597803852073E-2</v>
      </c>
      <c r="I150">
        <v>0.12894736842105259</v>
      </c>
      <c r="J150">
        <v>0.32908785150232339</v>
      </c>
      <c r="K150" t="s">
        <v>177</v>
      </c>
    </row>
    <row r="151" spans="1:11" ht="23.1" customHeight="1">
      <c r="A151" t="s">
        <v>23</v>
      </c>
      <c r="B151">
        <v>4</v>
      </c>
      <c r="C151" t="s">
        <v>98</v>
      </c>
      <c r="D151" t="s">
        <v>161</v>
      </c>
      <c r="E151">
        <v>0.2596851598772586</v>
      </c>
      <c r="G151">
        <v>0.11457479268400929</v>
      </c>
      <c r="I151">
        <v>0.34355329688111685</v>
      </c>
      <c r="J151">
        <v>0.33972081055069808</v>
      </c>
      <c r="K151" t="s">
        <v>178</v>
      </c>
    </row>
    <row r="152" spans="1:11" ht="23.1" customHeight="1">
      <c r="A152" t="s">
        <v>23</v>
      </c>
      <c r="B152">
        <v>4</v>
      </c>
      <c r="C152" t="s">
        <v>98</v>
      </c>
      <c r="D152" t="s">
        <v>162</v>
      </c>
      <c r="E152">
        <v>0.23026340611058629</v>
      </c>
      <c r="G152">
        <v>7.6285846529553072E-2</v>
      </c>
      <c r="I152">
        <v>0.25003553135955536</v>
      </c>
      <c r="J152">
        <v>0.32843465261743998</v>
      </c>
      <c r="K152" t="s">
        <v>179</v>
      </c>
    </row>
    <row r="153" spans="1:11" ht="23.1" customHeight="1"/>
    <row r="154" spans="1:11" ht="23.1" customHeight="1"/>
    <row r="155" spans="1:11" ht="23.1" customHeight="1"/>
    <row r="156" spans="1:11" ht="23.1" customHeight="1"/>
    <row r="157" spans="1:11" ht="23.1" customHeight="1"/>
    <row r="158" spans="1:11" ht="23.1" customHeight="1"/>
    <row r="159" spans="1:11" ht="23.1" customHeight="1"/>
    <row r="160" spans="1:11" ht="23.1" customHeight="1"/>
    <row r="161" ht="23.1" customHeight="1"/>
    <row r="162" ht="23.1" customHeight="1"/>
    <row r="163" ht="23.1" customHeight="1"/>
    <row r="164" ht="23.1" customHeight="1"/>
    <row r="165" ht="23.1" customHeight="1"/>
    <row r="166" ht="23.1" customHeight="1"/>
    <row r="167" ht="23.1" customHeight="1"/>
    <row r="168" ht="23.1" customHeight="1"/>
    <row r="169" ht="23.1" customHeight="1"/>
    <row r="170" ht="23.1" customHeight="1"/>
    <row r="171" ht="23.1" customHeight="1"/>
    <row r="172" ht="23.1" customHeight="1"/>
    <row r="173" ht="23.1" customHeight="1"/>
    <row r="174" ht="23.1" customHeight="1"/>
    <row r="175" ht="23.1" customHeight="1"/>
    <row r="176" ht="23.1" customHeight="1"/>
    <row r="177" ht="23.1" customHeight="1"/>
    <row r="178" ht="23.1" customHeight="1"/>
    <row r="179" ht="23.1" customHeight="1"/>
    <row r="180" ht="23.1" customHeight="1"/>
    <row r="181" ht="23.1" customHeight="1"/>
    <row r="182" ht="23.1" customHeight="1"/>
    <row r="183" ht="23.1" customHeight="1"/>
    <row r="184" ht="23.1" customHeight="1"/>
    <row r="185" ht="23.1" customHeight="1"/>
    <row r="186" ht="23.1" customHeight="1"/>
    <row r="187" ht="23.1" customHeight="1"/>
    <row r="188" ht="23.1" customHeight="1"/>
    <row r="189" ht="23.1" customHeight="1"/>
    <row r="190" ht="23.1" customHeight="1"/>
    <row r="191" ht="23.1" customHeight="1"/>
    <row r="192" ht="23.1" customHeight="1"/>
    <row r="193" ht="23.1" customHeight="1"/>
    <row r="194" ht="23.1" customHeight="1"/>
    <row r="195" ht="23.1" customHeight="1"/>
    <row r="196" ht="23.1" customHeight="1"/>
    <row r="197" ht="23.1" customHeight="1"/>
    <row r="198" ht="23.1" customHeight="1"/>
    <row r="199" ht="23.1" customHeight="1"/>
    <row r="200" ht="23.1" customHeight="1"/>
    <row r="201" ht="23.1" customHeight="1"/>
    <row r="202" ht="23.1" customHeight="1"/>
    <row r="203" ht="23.1" customHeight="1"/>
    <row r="204" ht="23.1" customHeight="1"/>
    <row r="205" ht="23.1" customHeight="1"/>
    <row r="206" ht="23.1" customHeight="1"/>
    <row r="207" ht="23.1" customHeight="1"/>
    <row r="208" ht="23.1" customHeight="1"/>
    <row r="209" ht="23.1" customHeight="1"/>
    <row r="210" ht="23.1" customHeight="1"/>
    <row r="211" ht="23.1" customHeight="1"/>
    <row r="212" ht="23.1" customHeight="1"/>
    <row r="213" ht="23.1" customHeight="1"/>
    <row r="214" ht="23.1" customHeight="1"/>
    <row r="215" ht="23.1" customHeight="1"/>
    <row r="216" ht="23.1" customHeight="1"/>
    <row r="217" ht="23.1" customHeight="1"/>
    <row r="218" ht="23.1" customHeight="1"/>
    <row r="219" ht="23.1" customHeight="1"/>
    <row r="220" ht="23.1" customHeight="1"/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pane ySplit="3" topLeftCell="A4" activePane="bottomLeft" state="frozen"/>
      <selection pane="bottomLeft" sqref="A1:H1"/>
    </sheetView>
  </sheetViews>
  <sheetFormatPr defaultRowHeight="14.25"/>
  <cols>
    <col min="1" max="1" width="26" customWidth="1"/>
    <col min="2" max="2" width="100" customWidth="1"/>
  </cols>
  <sheetData>
    <row r="1" spans="1:8" ht="42" customHeight="1">
      <c r="A1" s="18" t="s">
        <v>180</v>
      </c>
      <c r="B1" s="18"/>
      <c r="C1" s="18"/>
      <c r="D1" s="18"/>
      <c r="E1" s="18"/>
      <c r="F1" s="18"/>
      <c r="G1" s="18"/>
      <c r="H1" s="18"/>
    </row>
    <row r="3" spans="1:8" ht="15">
      <c r="A3" s="2" t="s">
        <v>181</v>
      </c>
      <c r="B3" s="2" t="s">
        <v>182</v>
      </c>
    </row>
    <row r="4" spans="1:8" ht="30" customHeight="1">
      <c r="A4" t="s">
        <v>183</v>
      </c>
      <c r="B4" s="4" t="s">
        <v>184</v>
      </c>
    </row>
    <row r="5" spans="1:8" ht="30" customHeight="1">
      <c r="A5" t="s">
        <v>185</v>
      </c>
      <c r="B5" s="4" t="s">
        <v>186</v>
      </c>
    </row>
    <row r="6" spans="1:8" ht="30" customHeight="1">
      <c r="A6" t="s">
        <v>187</v>
      </c>
      <c r="B6" s="4" t="s">
        <v>188</v>
      </c>
    </row>
    <row r="7" spans="1:8" ht="30" customHeight="1">
      <c r="A7" t="s">
        <v>189</v>
      </c>
      <c r="B7" s="4" t="s">
        <v>190</v>
      </c>
    </row>
    <row r="8" spans="1:8" ht="30" customHeight="1">
      <c r="A8" t="s">
        <v>191</v>
      </c>
      <c r="B8" s="4" t="s">
        <v>192</v>
      </c>
    </row>
    <row r="9" spans="1:8" ht="30" customHeight="1">
      <c r="A9" t="s">
        <v>193</v>
      </c>
      <c r="B9" s="4" t="s">
        <v>194</v>
      </c>
    </row>
    <row r="10" spans="1:8" ht="30" customHeight="1">
      <c r="A10" t="s">
        <v>195</v>
      </c>
      <c r="B10" s="4" t="s">
        <v>196</v>
      </c>
    </row>
    <row r="11" spans="1:8" ht="30" customHeight="1">
      <c r="A11" t="s">
        <v>197</v>
      </c>
      <c r="B11" s="4" t="s">
        <v>198</v>
      </c>
    </row>
    <row r="12" spans="1:8" ht="30" customHeight="1">
      <c r="A12" t="s">
        <v>199</v>
      </c>
      <c r="B12" s="4" t="s">
        <v>200</v>
      </c>
    </row>
    <row r="13" spans="1:8" ht="30" customHeight="1">
      <c r="A13" t="s">
        <v>201</v>
      </c>
      <c r="B13" s="4" t="s">
        <v>202</v>
      </c>
    </row>
    <row r="14" spans="1:8" ht="30" customHeight="1">
      <c r="A14" t="s">
        <v>203</v>
      </c>
      <c r="B14" s="4" t="s">
        <v>204</v>
      </c>
    </row>
    <row r="15" spans="1:8" ht="30" customHeight="1">
      <c r="A15" t="s">
        <v>205</v>
      </c>
      <c r="B15" s="4" t="s">
        <v>206</v>
      </c>
    </row>
    <row r="16" spans="1:8" ht="30" customHeight="1">
      <c r="A16" t="s">
        <v>207</v>
      </c>
      <c r="B16" s="4" t="s">
        <v>17</v>
      </c>
    </row>
    <row r="17" spans="1:2" ht="30" customHeight="1">
      <c r="A17" t="s">
        <v>208</v>
      </c>
      <c r="B17" s="4" t="s">
        <v>209</v>
      </c>
    </row>
    <row r="18" spans="1:2" ht="30" customHeight="1">
      <c r="A18" t="s">
        <v>210</v>
      </c>
      <c r="B18" s="4" t="s">
        <v>211</v>
      </c>
    </row>
    <row r="20" spans="1:2" ht="35.1" customHeight="1">
      <c r="A20" t="s">
        <v>212</v>
      </c>
      <c r="B20" s="4" t="s">
        <v>213</v>
      </c>
    </row>
    <row r="21" spans="1:2" ht="35.1" customHeight="1">
      <c r="A21" t="s">
        <v>214</v>
      </c>
      <c r="B21" s="4" t="s">
        <v>215</v>
      </c>
    </row>
    <row r="22" spans="1:2" ht="35.1" customHeight="1">
      <c r="A22" t="s">
        <v>216</v>
      </c>
      <c r="B22" s="4" t="s">
        <v>217</v>
      </c>
    </row>
    <row r="23" spans="1:2">
      <c r="A23" t="s">
        <v>218</v>
      </c>
      <c r="B23" t="s">
        <v>219</v>
      </c>
    </row>
    <row r="24" spans="1:2">
      <c r="A24" t="s">
        <v>220</v>
      </c>
      <c r="B24" t="s">
        <v>221</v>
      </c>
    </row>
    <row r="25" spans="1:2">
      <c r="A25" t="s">
        <v>222</v>
      </c>
      <c r="B25" t="s">
        <v>223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tabSelected="1" workbookViewId="0">
      <pane ySplit="4" topLeftCell="A6" activePane="bottomLeft" state="frozen"/>
      <selection pane="bottomLeft" activeCell="F26" sqref="F26"/>
    </sheetView>
  </sheetViews>
  <sheetFormatPr defaultRowHeight="14.25"/>
  <cols>
    <col min="1" max="1" width="21" customWidth="1"/>
    <col min="2" max="3" width="23" customWidth="1"/>
    <col min="4" max="4" width="20" customWidth="1"/>
    <col min="5" max="9" width="17" customWidth="1"/>
  </cols>
  <sheetData>
    <row r="1" spans="1:10" ht="30" customHeight="1">
      <c r="A1" s="19" t="s">
        <v>224</v>
      </c>
      <c r="B1" s="19"/>
      <c r="C1" s="19"/>
      <c r="D1" s="19"/>
      <c r="E1" s="19"/>
      <c r="F1" s="19"/>
      <c r="G1" s="19"/>
      <c r="H1" s="19"/>
      <c r="I1" s="19"/>
    </row>
    <row r="2" spans="1:10" ht="30.95" customHeight="1">
      <c r="A2" s="20" t="s">
        <v>225</v>
      </c>
      <c r="B2" s="20"/>
      <c r="C2" s="20"/>
      <c r="D2" s="20"/>
      <c r="E2" s="20"/>
      <c r="F2" s="20"/>
      <c r="G2" s="20"/>
      <c r="H2" s="20"/>
      <c r="I2" s="20"/>
    </row>
    <row r="4" spans="1:10" ht="33.950000000000003" customHeight="1">
      <c r="A4" s="11" t="s">
        <v>140</v>
      </c>
      <c r="B4" s="11" t="s">
        <v>226</v>
      </c>
      <c r="C4" s="11" t="s">
        <v>32</v>
      </c>
      <c r="D4" s="11" t="s">
        <v>227</v>
      </c>
      <c r="E4" s="11" t="s">
        <v>147</v>
      </c>
      <c r="F4" s="11" t="s">
        <v>146</v>
      </c>
      <c r="G4" s="11" t="s">
        <v>228</v>
      </c>
      <c r="H4" s="11" t="s">
        <v>229</v>
      </c>
      <c r="I4" s="11" t="s">
        <v>230</v>
      </c>
    </row>
    <row r="5" spans="1:10" ht="27" customHeight="1">
      <c r="A5" s="24" t="s">
        <v>9</v>
      </c>
      <c r="B5" s="24" t="s">
        <v>24</v>
      </c>
      <c r="C5" s="24">
        <v>500</v>
      </c>
      <c r="D5" s="24" t="s">
        <v>231</v>
      </c>
      <c r="E5" s="25">
        <v>0.46172054219127739</v>
      </c>
      <c r="F5" s="25">
        <v>0.40184558011408889</v>
      </c>
      <c r="G5" s="25">
        <v>0.39527484499413507</v>
      </c>
      <c r="H5" s="25">
        <v>0.19897237727452255</v>
      </c>
      <c r="I5" s="25">
        <v>44.851999999999997</v>
      </c>
      <c r="J5" s="6"/>
    </row>
    <row r="6" spans="1:10" ht="27" customHeight="1">
      <c r="A6" s="1" t="s">
        <v>15</v>
      </c>
      <c r="B6" s="1" t="s">
        <v>24</v>
      </c>
      <c r="C6" s="1">
        <v>300</v>
      </c>
      <c r="D6" s="1" t="s">
        <v>232</v>
      </c>
      <c r="E6" s="1">
        <v>0.44918000000000002</v>
      </c>
      <c r="F6" s="1">
        <v>0.32561000000000001</v>
      </c>
      <c r="G6" s="1">
        <v>0.32394000000000001</v>
      </c>
      <c r="H6" s="1">
        <v>0.16861999999999999</v>
      </c>
      <c r="I6" s="1">
        <v>28.414999999999999</v>
      </c>
      <c r="J6" s="6"/>
    </row>
    <row r="7" spans="1:10" ht="27" customHeight="1">
      <c r="A7" t="s">
        <v>18</v>
      </c>
      <c r="B7" t="s">
        <v>19</v>
      </c>
      <c r="C7">
        <v>100</v>
      </c>
      <c r="D7" t="s">
        <v>233</v>
      </c>
      <c r="E7" s="6">
        <v>0.24639</v>
      </c>
      <c r="F7" s="6">
        <v>0.21037</v>
      </c>
      <c r="G7" s="6">
        <v>0.17984</v>
      </c>
      <c r="H7" s="6">
        <v>9.1539999999999996E-2</v>
      </c>
      <c r="I7" s="6">
        <v>15.075055555555554</v>
      </c>
      <c r="J7" s="6"/>
    </row>
    <row r="8" spans="1:10" ht="27" customHeight="1">
      <c r="A8" s="22" t="s">
        <v>23</v>
      </c>
      <c r="B8" s="22" t="s">
        <v>24</v>
      </c>
      <c r="C8" s="22">
        <v>500</v>
      </c>
      <c r="D8" s="22" t="s">
        <v>231</v>
      </c>
      <c r="E8" s="23">
        <v>0.36570121916160359</v>
      </c>
      <c r="F8" s="23">
        <v>0.3429582305120083</v>
      </c>
      <c r="G8" s="23">
        <v>0.30540672042901151</v>
      </c>
      <c r="H8" s="23">
        <v>0.15268895072639477</v>
      </c>
      <c r="I8" s="23"/>
      <c r="J8" s="6"/>
    </row>
    <row r="9" spans="1:10" ht="27" customHeight="1">
      <c r="A9" t="s">
        <v>9</v>
      </c>
      <c r="B9" t="s">
        <v>24</v>
      </c>
      <c r="C9">
        <v>100</v>
      </c>
      <c r="D9" t="s">
        <v>233</v>
      </c>
      <c r="E9" s="6">
        <v>0.41252</v>
      </c>
      <c r="F9" s="6">
        <v>0.33672999999999997</v>
      </c>
      <c r="G9" s="6">
        <v>0.32263999999999998</v>
      </c>
      <c r="H9" s="6">
        <v>0.16209999999999999</v>
      </c>
      <c r="I9" s="6">
        <v>14.001999999999999</v>
      </c>
      <c r="J9" s="6"/>
    </row>
    <row r="10" spans="1:10" ht="27" customHeight="1">
      <c r="A10" t="s">
        <v>25</v>
      </c>
      <c r="B10" t="s">
        <v>24</v>
      </c>
      <c r="C10">
        <v>100</v>
      </c>
      <c r="D10" t="s">
        <v>233</v>
      </c>
      <c r="E10" s="6">
        <v>0.42360999999999999</v>
      </c>
      <c r="F10" s="6">
        <v>0.30459999999999998</v>
      </c>
      <c r="G10" s="6">
        <v>0.28845999999999999</v>
      </c>
      <c r="H10" s="6">
        <v>0.13883999999999999</v>
      </c>
      <c r="I10" s="6">
        <v>22.647944444444445</v>
      </c>
      <c r="J10" s="6"/>
    </row>
    <row r="11" spans="1:10" ht="27" customHeight="1">
      <c r="A11" t="s">
        <v>26</v>
      </c>
      <c r="B11" t="s">
        <v>24</v>
      </c>
      <c r="C11">
        <v>100</v>
      </c>
      <c r="D11" t="s">
        <v>233</v>
      </c>
      <c r="E11" s="6">
        <v>0.37956000000000001</v>
      </c>
      <c r="F11" s="6">
        <v>0.26950000000000002</v>
      </c>
      <c r="G11" s="6">
        <v>0.2737</v>
      </c>
      <c r="H11" s="6">
        <v>0.13758999999999999</v>
      </c>
      <c r="I11" s="6">
        <v>12.910805555555555</v>
      </c>
      <c r="J11" s="6"/>
    </row>
    <row r="12" spans="1:10" ht="27" customHeight="1">
      <c r="E12" s="6"/>
      <c r="F12" s="6"/>
      <c r="G12" s="6"/>
      <c r="H12" s="6"/>
      <c r="I12" s="5"/>
    </row>
    <row r="13" spans="1:10" ht="27" customHeight="1">
      <c r="A13" s="29" t="s">
        <v>296</v>
      </c>
      <c r="B13" s="29"/>
      <c r="C13" s="29"/>
      <c r="D13" s="29"/>
      <c r="E13" s="30"/>
      <c r="F13" s="30"/>
      <c r="G13" s="30"/>
      <c r="H13" s="30"/>
      <c r="I13" s="31"/>
    </row>
    <row r="14" spans="1:10" ht="15">
      <c r="A14" s="22" t="s">
        <v>23</v>
      </c>
      <c r="E14" s="27">
        <v>42.2</v>
      </c>
      <c r="F14" s="27">
        <v>38.700000000000003</v>
      </c>
      <c r="G14" s="27">
        <v>38.799999999999997</v>
      </c>
      <c r="H14" s="27">
        <v>21.4</v>
      </c>
      <c r="J14" t="s">
        <v>294</v>
      </c>
    </row>
    <row r="15" spans="1:10" ht="15" customHeight="1">
      <c r="A15" s="22" t="s">
        <v>23</v>
      </c>
      <c r="B15" s="4"/>
      <c r="C15" s="4"/>
      <c r="D15" s="4"/>
      <c r="E15" s="27">
        <v>33.6</v>
      </c>
      <c r="F15" s="27">
        <v>32.4</v>
      </c>
      <c r="G15" s="27">
        <v>26.2</v>
      </c>
      <c r="H15" s="27">
        <v>14.3</v>
      </c>
      <c r="I15" s="4"/>
      <c r="J15" t="s">
        <v>295</v>
      </c>
    </row>
    <row r="16" spans="1:10">
      <c r="A16" s="27"/>
    </row>
    <row r="17" spans="1:7" ht="33.950000000000003" customHeight="1">
      <c r="B17" s="28"/>
      <c r="E17" s="26"/>
      <c r="F17" s="26"/>
      <c r="G17" s="26"/>
    </row>
    <row r="18" spans="1:7">
      <c r="A18" s="28"/>
      <c r="B18" s="27"/>
    </row>
    <row r="19" spans="1:7">
      <c r="B19" s="28"/>
    </row>
    <row r="20" spans="1:7">
      <c r="A20" s="28"/>
      <c r="B20" s="27"/>
    </row>
    <row r="21" spans="1:7">
      <c r="B21" s="28"/>
    </row>
    <row r="22" spans="1:7">
      <c r="A22" s="28"/>
      <c r="B22" s="27"/>
    </row>
    <row r="23" spans="1:7">
      <c r="A23" s="27"/>
      <c r="B23" s="28"/>
    </row>
    <row r="24" spans="1:7">
      <c r="A24" s="28"/>
      <c r="B24" s="27"/>
    </row>
    <row r="25" spans="1:7">
      <c r="A25" s="27"/>
      <c r="B25" s="28"/>
    </row>
    <row r="26" spans="1:7">
      <c r="A26" s="27"/>
      <c r="B26" s="27"/>
    </row>
    <row r="27" spans="1:7">
      <c r="A27" s="28"/>
      <c r="B27" s="28"/>
    </row>
    <row r="28" spans="1:7">
      <c r="A28" s="27"/>
      <c r="B28" s="27"/>
    </row>
    <row r="29" spans="1:7">
      <c r="A29" s="28"/>
      <c r="B29" s="28"/>
    </row>
    <row r="30" spans="1:7">
      <c r="A30" s="27"/>
      <c r="B30" s="27"/>
    </row>
    <row r="31" spans="1:7">
      <c r="A31" s="28"/>
      <c r="B31" s="28"/>
    </row>
    <row r="32" spans="1:7">
      <c r="A32" s="27"/>
      <c r="B32" s="27"/>
    </row>
    <row r="33" spans="1:2">
      <c r="A33" s="28"/>
      <c r="B33" s="28"/>
    </row>
    <row r="34" spans="1:2">
      <c r="A34" s="27"/>
      <c r="B34" s="27"/>
    </row>
  </sheetData>
  <mergeCells count="3">
    <mergeCell ref="A1:I1"/>
    <mergeCell ref="A2:I2"/>
    <mergeCell ref="A13:I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>
      <pane ySplit="3" topLeftCell="A4" activePane="bottomLeft" state="frozen"/>
      <selection pane="bottomLeft" activeCell="C4" sqref="C4"/>
    </sheetView>
  </sheetViews>
  <sheetFormatPr defaultRowHeight="14.25"/>
  <cols>
    <col min="1" max="1" width="21" customWidth="1"/>
    <col min="2" max="2" width="23" customWidth="1"/>
    <col min="3" max="11" width="17" customWidth="1"/>
    <col min="12" max="12" width="25" customWidth="1"/>
    <col min="13" max="13" width="37" customWidth="1"/>
  </cols>
  <sheetData>
    <row r="1" spans="1:13" ht="30" customHeight="1">
      <c r="A1" s="21" t="s">
        <v>235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1:13" ht="33.950000000000003" customHeight="1">
      <c r="A3" s="10" t="s">
        <v>140</v>
      </c>
      <c r="B3" s="10" t="s">
        <v>236</v>
      </c>
      <c r="C3" s="10" t="s">
        <v>32</v>
      </c>
      <c r="D3" s="10" t="s">
        <v>237</v>
      </c>
      <c r="E3" s="10" t="s">
        <v>51</v>
      </c>
      <c r="F3" s="10" t="s">
        <v>147</v>
      </c>
      <c r="G3" s="10" t="s">
        <v>146</v>
      </c>
      <c r="H3" s="10" t="s">
        <v>238</v>
      </c>
      <c r="I3" s="10" t="s">
        <v>228</v>
      </c>
      <c r="J3" s="10" t="s">
        <v>229</v>
      </c>
      <c r="K3" s="10" t="s">
        <v>239</v>
      </c>
      <c r="L3" s="10" t="s">
        <v>226</v>
      </c>
      <c r="M3" s="10" t="s">
        <v>240</v>
      </c>
    </row>
    <row r="4" spans="1:13">
      <c r="A4" t="s">
        <v>18</v>
      </c>
      <c r="B4" t="s">
        <v>86</v>
      </c>
      <c r="C4">
        <v>0</v>
      </c>
      <c r="D4" s="6">
        <v>41</v>
      </c>
      <c r="E4" s="6">
        <v>33</v>
      </c>
      <c r="F4" s="6">
        <v>0.24639</v>
      </c>
      <c r="G4" s="6">
        <v>0.21037</v>
      </c>
      <c r="H4" s="6">
        <v>0.22695973509063841</v>
      </c>
      <c r="I4" s="6">
        <v>0.17984</v>
      </c>
      <c r="J4" s="6">
        <v>9.1539999999999996E-2</v>
      </c>
      <c r="K4" s="6">
        <v>15.075055555555554</v>
      </c>
      <c r="L4" t="s">
        <v>19</v>
      </c>
      <c r="M4" t="s">
        <v>241</v>
      </c>
    </row>
    <row r="5" spans="1:13">
      <c r="A5" t="s">
        <v>23</v>
      </c>
      <c r="B5" t="s">
        <v>89</v>
      </c>
      <c r="C5" t="s">
        <v>234</v>
      </c>
      <c r="D5" s="6">
        <v>100</v>
      </c>
      <c r="E5" s="6">
        <v>83</v>
      </c>
      <c r="F5" s="6">
        <v>0.36169000000000001</v>
      </c>
      <c r="G5" s="6">
        <v>0.33637</v>
      </c>
      <c r="H5" s="6">
        <v>0.34857079706615474</v>
      </c>
      <c r="I5" s="6">
        <v>0.29977999999999999</v>
      </c>
      <c r="J5" s="6">
        <v>0.14796999999999999</v>
      </c>
      <c r="K5" s="6">
        <v>10.181666666666667</v>
      </c>
      <c r="L5" t="s">
        <v>24</v>
      </c>
      <c r="M5" t="s">
        <v>242</v>
      </c>
    </row>
    <row r="6" spans="1:13">
      <c r="A6" t="s">
        <v>9</v>
      </c>
      <c r="B6" t="s">
        <v>91</v>
      </c>
      <c r="C6" t="s">
        <v>234</v>
      </c>
      <c r="D6" s="6">
        <v>100</v>
      </c>
      <c r="E6" s="6">
        <v>100</v>
      </c>
      <c r="F6" s="6">
        <v>0.41252</v>
      </c>
      <c r="G6" s="6">
        <v>0.33672999999999997</v>
      </c>
      <c r="H6" s="6">
        <v>0.37079175068401732</v>
      </c>
      <c r="I6" s="6">
        <v>0.32263999999999998</v>
      </c>
      <c r="J6" s="6">
        <v>0.16209999999999999</v>
      </c>
      <c r="K6" s="6">
        <v>14.001999999999999</v>
      </c>
      <c r="L6" t="s">
        <v>24</v>
      </c>
      <c r="M6" t="s">
        <v>242</v>
      </c>
    </row>
    <row r="7" spans="1:13">
      <c r="A7" t="s">
        <v>25</v>
      </c>
      <c r="B7" t="s">
        <v>93</v>
      </c>
      <c r="C7">
        <v>0</v>
      </c>
      <c r="D7" s="6">
        <v>100</v>
      </c>
      <c r="E7" s="6">
        <v>70</v>
      </c>
      <c r="F7" s="6">
        <v>0.42360999999999999</v>
      </c>
      <c r="G7" s="6">
        <v>0.30459999999999998</v>
      </c>
      <c r="H7" s="6">
        <v>0.35438020900564393</v>
      </c>
      <c r="I7" s="6">
        <v>0.28845999999999999</v>
      </c>
      <c r="J7" s="6">
        <v>0.13883999999999999</v>
      </c>
      <c r="K7" s="6">
        <v>22.647944444444445</v>
      </c>
      <c r="L7" t="s">
        <v>24</v>
      </c>
      <c r="M7" t="s">
        <v>241</v>
      </c>
    </row>
    <row r="8" spans="1:13">
      <c r="A8" t="s">
        <v>26</v>
      </c>
      <c r="B8" t="s">
        <v>95</v>
      </c>
      <c r="C8">
        <v>0</v>
      </c>
      <c r="D8" s="6">
        <v>93</v>
      </c>
      <c r="E8" s="6">
        <v>63</v>
      </c>
      <c r="F8" s="6">
        <v>0.37956000000000001</v>
      </c>
      <c r="G8" s="6">
        <v>0.26950000000000002</v>
      </c>
      <c r="H8" s="6">
        <v>0.3151986565186578</v>
      </c>
      <c r="I8" s="6">
        <v>0.2737</v>
      </c>
      <c r="J8" s="6">
        <v>0.13758999999999999</v>
      </c>
      <c r="K8" s="6">
        <v>12.910805555555555</v>
      </c>
      <c r="L8" t="s">
        <v>24</v>
      </c>
      <c r="M8" t="s">
        <v>241</v>
      </c>
    </row>
    <row r="9" spans="1:13">
      <c r="D9" s="6"/>
      <c r="E9" s="6"/>
      <c r="F9" s="6"/>
      <c r="G9" s="6"/>
      <c r="H9" s="6"/>
      <c r="I9" s="6"/>
      <c r="J9" s="6"/>
      <c r="K9" s="6"/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"/>
  <sheetViews>
    <sheetView workbookViewId="0">
      <pane ySplit="3" topLeftCell="A4" activePane="bottomLeft" state="frozen"/>
      <selection pane="bottomLeft" activeCell="E28" sqref="E28"/>
    </sheetView>
  </sheetViews>
  <sheetFormatPr defaultRowHeight="14.25"/>
  <cols>
    <col min="2" max="2" width="25" customWidth="1"/>
    <col min="3" max="10" width="16" customWidth="1"/>
  </cols>
  <sheetData>
    <row r="1" spans="1:11" ht="32.1" customHeight="1">
      <c r="A1" s="13" t="s">
        <v>243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27.95" customHeight="1">
      <c r="A3" s="12" t="s">
        <v>244</v>
      </c>
      <c r="B3" s="12" t="s">
        <v>141</v>
      </c>
      <c r="C3" s="12" t="s">
        <v>110</v>
      </c>
      <c r="D3" s="12" t="s">
        <v>245</v>
      </c>
      <c r="E3" s="12" t="s">
        <v>111</v>
      </c>
      <c r="F3" s="12" t="s">
        <v>246</v>
      </c>
      <c r="G3" s="12" t="s">
        <v>247</v>
      </c>
      <c r="H3" s="12" t="s">
        <v>248</v>
      </c>
      <c r="I3" s="12" t="s">
        <v>249</v>
      </c>
      <c r="J3" s="12" t="s">
        <v>250</v>
      </c>
      <c r="K3" s="12" t="s">
        <v>251</v>
      </c>
    </row>
    <row r="4" spans="1:11">
      <c r="A4">
        <v>0</v>
      </c>
      <c r="B4" t="s">
        <v>148</v>
      </c>
      <c r="C4" s="6">
        <v>0.71519447571218564</v>
      </c>
      <c r="D4" s="6">
        <v>7.3241666378071509E-3</v>
      </c>
      <c r="E4" s="6">
        <v>0.90163092473427808</v>
      </c>
      <c r="F4" s="6">
        <v>5.1766872462663113E-3</v>
      </c>
      <c r="G4" s="6">
        <v>0.89802876052330671</v>
      </c>
      <c r="H4" s="6">
        <v>4.7770749077969028E-3</v>
      </c>
      <c r="I4" s="6">
        <v>0.56671578477605511</v>
      </c>
      <c r="J4" s="6">
        <v>7.8709481135182356E-3</v>
      </c>
      <c r="K4">
        <v>4</v>
      </c>
    </row>
    <row r="5" spans="1:11">
      <c r="A5">
        <v>1</v>
      </c>
      <c r="B5" t="s">
        <v>150</v>
      </c>
      <c r="C5" s="6">
        <v>0.22223370321849539</v>
      </c>
      <c r="D5" s="6">
        <v>2.6144034796497042E-2</v>
      </c>
      <c r="E5" s="6">
        <v>0.24936873266656981</v>
      </c>
      <c r="F5" s="6">
        <v>6.0099577748007331E-2</v>
      </c>
      <c r="G5" s="6">
        <v>0.15842350677670919</v>
      </c>
      <c r="H5" s="6">
        <v>3.5421163960404789E-2</v>
      </c>
      <c r="I5" s="6">
        <v>6.2151633416073507E-2</v>
      </c>
      <c r="J5" s="6">
        <v>1.045874016750804E-2</v>
      </c>
      <c r="K5">
        <v>4</v>
      </c>
    </row>
    <row r="6" spans="1:11">
      <c r="A6">
        <v>2</v>
      </c>
      <c r="B6" t="s">
        <v>151</v>
      </c>
      <c r="C6" s="6">
        <v>0.29244425771156091</v>
      </c>
      <c r="D6" s="6">
        <v>5.3710098638190595E-2</v>
      </c>
      <c r="E6" s="6">
        <v>0.15286827451200272</v>
      </c>
      <c r="F6" s="6">
        <v>2.0441632784680509E-2</v>
      </c>
      <c r="G6" s="6">
        <v>0.11101324459205139</v>
      </c>
      <c r="H6" s="6">
        <v>1.7004953478548721E-2</v>
      </c>
      <c r="I6" s="6">
        <v>3.8110293351115238E-2</v>
      </c>
      <c r="J6" s="6">
        <v>2.8924592436946474E-3</v>
      </c>
      <c r="K6">
        <v>4</v>
      </c>
    </row>
    <row r="7" spans="1:11">
      <c r="A7">
        <v>3</v>
      </c>
      <c r="B7" t="s">
        <v>152</v>
      </c>
      <c r="C7" s="6">
        <v>0.75755511337182913</v>
      </c>
      <c r="D7" s="6">
        <v>1.5366286572960151E-2</v>
      </c>
      <c r="E7" s="6">
        <v>0.90598290598290587</v>
      </c>
      <c r="F7" s="6">
        <v>1.1034140587485499E-2</v>
      </c>
      <c r="G7" s="6">
        <v>0.91793117082972975</v>
      </c>
      <c r="H7" s="6">
        <v>5.4963186967820175E-3</v>
      </c>
      <c r="I7" s="6">
        <v>0.62750275857958993</v>
      </c>
      <c r="J7" s="6">
        <v>5.8686090821510059E-3</v>
      </c>
      <c r="K7">
        <v>4</v>
      </c>
    </row>
    <row r="8" spans="1:11">
      <c r="A8">
        <v>4</v>
      </c>
      <c r="B8" t="s">
        <v>153</v>
      </c>
      <c r="C8" s="6">
        <v>0.36256610831296177</v>
      </c>
      <c r="D8" s="6">
        <v>5.314807983606161E-2</v>
      </c>
      <c r="E8" s="6">
        <v>0.42105263157894735</v>
      </c>
      <c r="F8" s="6">
        <v>4.8045838377646172E-2</v>
      </c>
      <c r="G8" s="6">
        <v>0.36874533740652587</v>
      </c>
      <c r="H8" s="6">
        <v>1.697474100145727E-2</v>
      </c>
      <c r="I8" s="6">
        <v>0.14583869637533989</v>
      </c>
      <c r="J8" s="6">
        <v>2.8519926271411925E-3</v>
      </c>
      <c r="K8">
        <v>4</v>
      </c>
    </row>
    <row r="9" spans="1:11">
      <c r="A9">
        <v>5</v>
      </c>
      <c r="B9" t="s">
        <v>154</v>
      </c>
      <c r="C9" s="6">
        <v>0.32123068996475529</v>
      </c>
      <c r="D9" s="6">
        <v>2.43430296987821E-2</v>
      </c>
      <c r="E9" s="6">
        <v>0.19961821635707239</v>
      </c>
      <c r="F9" s="6">
        <v>4.8333436697146334E-2</v>
      </c>
      <c r="G9" s="6">
        <v>0.19718697411661051</v>
      </c>
      <c r="H9" s="6">
        <v>3.1540525049619517E-2</v>
      </c>
      <c r="I9" s="6">
        <v>8.6465024474455129E-2</v>
      </c>
      <c r="J9" s="6">
        <v>1.664371674255315E-2</v>
      </c>
      <c r="K9">
        <v>4</v>
      </c>
    </row>
    <row r="10" spans="1:11">
      <c r="A10">
        <v>6</v>
      </c>
      <c r="B10" t="s">
        <v>155</v>
      </c>
      <c r="C10" s="6">
        <v>0.37898155280284596</v>
      </c>
      <c r="D10" s="6">
        <v>8.0869985019546869E-2</v>
      </c>
      <c r="E10" s="6">
        <v>0.28389602760781951</v>
      </c>
      <c r="F10" s="6">
        <v>3.1178650240113792E-2</v>
      </c>
      <c r="G10" s="6">
        <v>0.26219771642408102</v>
      </c>
      <c r="H10" s="6">
        <v>1.6645716684337931E-2</v>
      </c>
      <c r="I10" s="6">
        <v>9.4462299154680546E-2</v>
      </c>
      <c r="J10" s="6">
        <v>8.9430178239830876E-3</v>
      </c>
      <c r="K10">
        <v>4</v>
      </c>
    </row>
    <row r="11" spans="1:11">
      <c r="A11">
        <v>7</v>
      </c>
      <c r="B11" t="s">
        <v>156</v>
      </c>
      <c r="C11" s="6">
        <v>0.28167537219448247</v>
      </c>
      <c r="D11" s="6">
        <v>2.6138479534841531E-2</v>
      </c>
      <c r="E11" s="6">
        <v>0.25962492254947223</v>
      </c>
      <c r="F11" s="6">
        <v>1.5456123679270099E-2</v>
      </c>
      <c r="G11" s="6">
        <v>0.19603531469960628</v>
      </c>
      <c r="H11" s="6">
        <v>1.324743222809866E-2</v>
      </c>
      <c r="I11" s="6">
        <v>7.7395624976345861E-2</v>
      </c>
      <c r="J11" s="6">
        <v>5.6746159416322869E-3</v>
      </c>
      <c r="K11">
        <v>4</v>
      </c>
    </row>
    <row r="12" spans="1:11">
      <c r="A12">
        <v>8</v>
      </c>
      <c r="B12" t="s">
        <v>157</v>
      </c>
      <c r="C12" s="6">
        <v>0.3881815476406148</v>
      </c>
      <c r="D12" s="6">
        <v>4.3421512135606556E-2</v>
      </c>
      <c r="E12" s="6">
        <v>0.22088510505867329</v>
      </c>
      <c r="F12" s="6">
        <v>2.6622744473538292E-2</v>
      </c>
      <c r="G12" s="6">
        <v>0.202126989724144</v>
      </c>
      <c r="H12" s="6">
        <v>1.9377370810502982E-2</v>
      </c>
      <c r="I12" s="6">
        <v>8.6635793620432486E-2</v>
      </c>
      <c r="J12" s="6">
        <v>9.308715455768694E-3</v>
      </c>
      <c r="K12">
        <v>4</v>
      </c>
    </row>
    <row r="13" spans="1:11">
      <c r="A13">
        <v>9</v>
      </c>
      <c r="B13" t="s">
        <v>158</v>
      </c>
      <c r="C13" s="6">
        <v>0.16054590301260799</v>
      </c>
      <c r="D13" s="6">
        <v>4.6298462255344404E-2</v>
      </c>
      <c r="E13" s="6">
        <v>4.1025641025641019E-2</v>
      </c>
      <c r="F13" s="6">
        <v>1.5097027121927951E-2</v>
      </c>
      <c r="G13" s="6">
        <v>3.8193465116577258E-2</v>
      </c>
      <c r="H13" s="6">
        <v>6.0080859915919941E-3</v>
      </c>
      <c r="I13" s="6">
        <v>1.289567954535761E-2</v>
      </c>
      <c r="J13" s="6">
        <v>2.7936477294726418E-3</v>
      </c>
      <c r="K13">
        <v>4</v>
      </c>
    </row>
    <row r="14" spans="1:11">
      <c r="A14">
        <v>10</v>
      </c>
      <c r="B14" t="s">
        <v>159</v>
      </c>
      <c r="C14" s="6">
        <v>0.29699668600078621</v>
      </c>
      <c r="D14" s="6">
        <v>2.950373610336238E-2</v>
      </c>
      <c r="E14" s="6">
        <v>0.4259614855315268</v>
      </c>
      <c r="F14" s="6">
        <v>8.6228867122500347E-3</v>
      </c>
      <c r="G14" s="6">
        <v>0.27886374043272033</v>
      </c>
      <c r="H14" s="6">
        <v>2.8189520309428819E-2</v>
      </c>
      <c r="I14" s="6">
        <v>0.1115733623583666</v>
      </c>
      <c r="J14" s="6">
        <v>9.7229030302390176E-3</v>
      </c>
      <c r="K14">
        <v>4</v>
      </c>
    </row>
    <row r="15" spans="1:11">
      <c r="A15">
        <v>11</v>
      </c>
      <c r="B15" t="s">
        <v>160</v>
      </c>
      <c r="C15" s="6">
        <v>0.3568994808748796</v>
      </c>
      <c r="D15" s="6">
        <v>2.8664658811617311E-2</v>
      </c>
      <c r="E15" s="6">
        <v>0.1645932551721678</v>
      </c>
      <c r="F15" s="6">
        <v>2.4835865726767218E-2</v>
      </c>
      <c r="G15" s="6">
        <v>0.16577663908529239</v>
      </c>
      <c r="H15" s="6">
        <v>1.6066421405962889E-2</v>
      </c>
      <c r="I15" s="6">
        <v>5.2830911619534245E-2</v>
      </c>
      <c r="J15" s="6">
        <v>5.0258280648464793E-3</v>
      </c>
      <c r="K15">
        <v>4</v>
      </c>
    </row>
    <row r="16" spans="1:11">
      <c r="A16">
        <v>12</v>
      </c>
      <c r="B16" t="s">
        <v>161</v>
      </c>
      <c r="C16" s="6">
        <v>0.28461927267187659</v>
      </c>
      <c r="D16" s="6">
        <v>5.1043395165931503E-2</v>
      </c>
      <c r="E16" s="6">
        <v>0.31922165755361259</v>
      </c>
      <c r="F16" s="6">
        <v>3.5366342408730128E-2</v>
      </c>
      <c r="G16" s="6">
        <v>0.27425673047215698</v>
      </c>
      <c r="H16" s="6">
        <v>1.066129230112179E-2</v>
      </c>
      <c r="I16" s="6">
        <v>0.1147653937186649</v>
      </c>
      <c r="J16" s="6">
        <v>6.8936456748383893E-4</v>
      </c>
      <c r="K16">
        <v>4</v>
      </c>
    </row>
    <row r="17" spans="1:11">
      <c r="A17">
        <v>13</v>
      </c>
      <c r="B17" t="s">
        <v>162</v>
      </c>
      <c r="C17" s="6">
        <v>0.31405408027968162</v>
      </c>
      <c r="D17" s="6">
        <v>1.261963422927565E-2</v>
      </c>
      <c r="E17" s="6">
        <v>0.27633524939937443</v>
      </c>
      <c r="F17" s="6">
        <v>1.83651696331565E-2</v>
      </c>
      <c r="G17" s="6">
        <v>0.2272757062040846</v>
      </c>
      <c r="H17" s="6">
        <v>4.6527935447462096E-3</v>
      </c>
      <c r="I17" s="6">
        <v>7.7395085434361147E-2</v>
      </c>
      <c r="J17" s="6">
        <v>1.3600335691288559E-3</v>
      </c>
      <c r="K17">
        <v>4</v>
      </c>
    </row>
    <row r="20" spans="1:11">
      <c r="A20" t="s">
        <v>252</v>
      </c>
      <c r="B20" t="s">
        <v>253</v>
      </c>
    </row>
    <row r="21" spans="1:11">
      <c r="A21" t="s">
        <v>254</v>
      </c>
      <c r="B21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19" customWidth="1"/>
    <col min="10" max="10" width="52" customWidth="1"/>
  </cols>
  <sheetData>
    <row r="1" spans="1:10" ht="15">
      <c r="A1" s="13" t="s">
        <v>256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15">
      <c r="A3" s="12" t="s">
        <v>140</v>
      </c>
      <c r="B3" s="12" t="s">
        <v>32</v>
      </c>
      <c r="C3" s="12" t="s">
        <v>237</v>
      </c>
      <c r="D3" s="12" t="s">
        <v>147</v>
      </c>
      <c r="E3" s="12" t="s">
        <v>146</v>
      </c>
      <c r="F3" s="12" t="s">
        <v>228</v>
      </c>
      <c r="G3" s="12" t="s">
        <v>229</v>
      </c>
      <c r="H3" s="12" t="s">
        <v>238</v>
      </c>
      <c r="I3" s="12" t="s">
        <v>257</v>
      </c>
      <c r="J3" s="12" t="s">
        <v>252</v>
      </c>
    </row>
    <row r="4" spans="1:10">
      <c r="A4" t="s">
        <v>23</v>
      </c>
      <c r="B4">
        <v>1</v>
      </c>
      <c r="C4">
        <v>100</v>
      </c>
      <c r="D4" s="6">
        <v>0.37103060305235064</v>
      </c>
      <c r="E4" s="6">
        <v>0.35387420722965823</v>
      </c>
      <c r="F4" s="6">
        <v>0.30690194026254114</v>
      </c>
      <c r="G4" s="6">
        <v>0.1554002599302558</v>
      </c>
      <c r="H4" s="6">
        <v>0.36224938405916718</v>
      </c>
      <c r="J4" t="s">
        <v>253</v>
      </c>
    </row>
    <row r="5" spans="1:10">
      <c r="A5" t="s">
        <v>23</v>
      </c>
      <c r="B5">
        <v>2</v>
      </c>
      <c r="C5">
        <v>100</v>
      </c>
      <c r="D5" s="6">
        <v>0.37233846369154522</v>
      </c>
      <c r="E5" s="6">
        <v>0.3312669575088561</v>
      </c>
      <c r="F5" s="6">
        <v>0.30388112326303451</v>
      </c>
      <c r="G5" s="6">
        <v>0.15286815646253341</v>
      </c>
      <c r="H5" s="6">
        <v>0.3506039786338972</v>
      </c>
      <c r="J5" t="s">
        <v>253</v>
      </c>
    </row>
    <row r="6" spans="1:10">
      <c r="A6" t="s">
        <v>23</v>
      </c>
      <c r="B6">
        <v>3</v>
      </c>
      <c r="C6">
        <v>100</v>
      </c>
      <c r="D6" s="6">
        <v>0.34744292221840484</v>
      </c>
      <c r="E6" s="6">
        <v>0.36166070575832776</v>
      </c>
      <c r="F6" s="6">
        <v>0.31311466055014292</v>
      </c>
      <c r="G6" s="6">
        <v>0.15395170889867421</v>
      </c>
      <c r="H6" s="6">
        <v>0.35440927814394757</v>
      </c>
      <c r="J6" t="s">
        <v>253</v>
      </c>
    </row>
    <row r="7" spans="1:10">
      <c r="A7" t="s">
        <v>23</v>
      </c>
      <c r="B7">
        <v>4</v>
      </c>
      <c r="C7">
        <v>99</v>
      </c>
      <c r="D7" s="6">
        <v>0.37581036640043175</v>
      </c>
      <c r="E7" s="6">
        <v>0.33093099514031893</v>
      </c>
      <c r="F7" s="6">
        <v>0.30354664632530892</v>
      </c>
      <c r="G7" s="6">
        <v>0.15341940082292849</v>
      </c>
      <c r="H7" s="6">
        <v>0.3519457196217084</v>
      </c>
      <c r="J7" t="s">
        <v>253</v>
      </c>
    </row>
    <row r="8" spans="1:10">
      <c r="A8" t="s">
        <v>23</v>
      </c>
      <c r="B8">
        <v>0</v>
      </c>
      <c r="D8" s="6">
        <v>0.36188374044528548</v>
      </c>
      <c r="E8" s="6">
        <v>0.33705828692288053</v>
      </c>
      <c r="F8" s="6">
        <v>0.29958923174403018</v>
      </c>
      <c r="G8" s="6">
        <v>0.14780522751758191</v>
      </c>
      <c r="H8" s="6">
        <v>0.34903013080792106</v>
      </c>
      <c r="J8" t="s">
        <v>258</v>
      </c>
    </row>
    <row r="9" spans="1:10">
      <c r="A9" t="s">
        <v>259</v>
      </c>
      <c r="D9" s="6">
        <v>0.36570121916160359</v>
      </c>
      <c r="E9" s="6">
        <v>0.3429582305120083</v>
      </c>
      <c r="F9" s="6">
        <v>0.30540672042901151</v>
      </c>
      <c r="G9" s="6">
        <v>0.15268895072639477</v>
      </c>
      <c r="H9" s="6">
        <v>0.35480209011468011</v>
      </c>
      <c r="J9" t="s">
        <v>260</v>
      </c>
    </row>
    <row r="10" spans="1:10">
      <c r="A10" t="s">
        <v>261</v>
      </c>
      <c r="D10" s="6">
        <v>1.1430100136449635E-2</v>
      </c>
      <c r="E10" s="6">
        <v>1.4009735164472318E-2</v>
      </c>
      <c r="F10" s="6">
        <v>5.0318614906790576E-3</v>
      </c>
      <c r="G10" s="6">
        <v>2.8880001826648398E-3</v>
      </c>
      <c r="H10" s="6">
        <v>5.2089500137790321E-3</v>
      </c>
      <c r="J10" t="s">
        <v>262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/>
  </sheetViews>
  <sheetFormatPr defaultRowHeight="14.25"/>
  <cols>
    <col min="1" max="1" width="21" customWidth="1"/>
    <col min="2" max="5" width="17" customWidth="1"/>
    <col min="6" max="6" width="42" customWidth="1"/>
  </cols>
  <sheetData>
    <row r="1" spans="1:6" ht="15">
      <c r="A1" s="14" t="s">
        <v>263</v>
      </c>
      <c r="B1" s="14" t="s">
        <v>264</v>
      </c>
      <c r="C1" s="14" t="s">
        <v>265</v>
      </c>
      <c r="D1" s="14" t="s">
        <v>266</v>
      </c>
      <c r="E1" s="14" t="s">
        <v>267</v>
      </c>
      <c r="F1" s="14" t="s">
        <v>252</v>
      </c>
    </row>
    <row r="2" spans="1:6">
      <c r="A2" t="s">
        <v>147</v>
      </c>
      <c r="B2" s="6">
        <v>0.36570121916160359</v>
      </c>
      <c r="C2" s="6">
        <v>1.1430100136449635E-2</v>
      </c>
      <c r="D2">
        <v>5</v>
      </c>
      <c r="E2" t="s">
        <v>268</v>
      </c>
      <c r="F2" t="s">
        <v>269</v>
      </c>
    </row>
    <row r="3" spans="1:6">
      <c r="A3" t="s">
        <v>146</v>
      </c>
      <c r="B3" s="6">
        <v>0.3429582305120083</v>
      </c>
      <c r="C3" s="6">
        <v>1.4009735164472318E-2</v>
      </c>
      <c r="D3">
        <v>5</v>
      </c>
      <c r="E3" t="s">
        <v>268</v>
      </c>
      <c r="F3" t="s">
        <v>269</v>
      </c>
    </row>
    <row r="4" spans="1:6">
      <c r="A4" t="s">
        <v>228</v>
      </c>
      <c r="B4" s="6">
        <v>0.30540672042901151</v>
      </c>
      <c r="C4" s="6">
        <v>5.0318614906790576E-3</v>
      </c>
      <c r="D4">
        <v>5</v>
      </c>
      <c r="E4" t="s">
        <v>268</v>
      </c>
      <c r="F4" t="s">
        <v>269</v>
      </c>
    </row>
    <row r="5" spans="1:6">
      <c r="A5" t="s">
        <v>229</v>
      </c>
      <c r="B5" s="6">
        <v>0.15268895072639477</v>
      </c>
      <c r="C5" s="6">
        <v>2.8880001826648398E-3</v>
      </c>
      <c r="D5">
        <v>5</v>
      </c>
      <c r="E5" t="s">
        <v>268</v>
      </c>
      <c r="F5" t="s">
        <v>269</v>
      </c>
    </row>
    <row r="8" spans="1:6" ht="15">
      <c r="A8" s="14" t="s">
        <v>32</v>
      </c>
      <c r="B8" s="14" t="s">
        <v>147</v>
      </c>
      <c r="C8" s="14" t="s">
        <v>146</v>
      </c>
      <c r="D8" s="14" t="s">
        <v>228</v>
      </c>
      <c r="E8" s="14" t="s">
        <v>229</v>
      </c>
      <c r="F8" s="14" t="s">
        <v>270</v>
      </c>
    </row>
    <row r="9" spans="1:6">
      <c r="A9">
        <v>0</v>
      </c>
      <c r="B9" s="6">
        <v>0.36188374044528548</v>
      </c>
      <c r="C9" s="6">
        <v>0.33705828692288053</v>
      </c>
      <c r="D9" s="6">
        <v>0.29958923174403018</v>
      </c>
      <c r="E9" s="6">
        <v>0.14780522751758191</v>
      </c>
      <c r="F9" t="s">
        <v>271</v>
      </c>
    </row>
    <row r="10" spans="1:6">
      <c r="A10">
        <v>1</v>
      </c>
      <c r="B10" s="6">
        <v>0.37103060305235064</v>
      </c>
      <c r="C10" s="6">
        <v>0.35387420722965823</v>
      </c>
      <c r="D10" s="6">
        <v>0.30690194026254114</v>
      </c>
      <c r="E10" s="6">
        <v>0.1554002599302558</v>
      </c>
      <c r="F10" t="s">
        <v>271</v>
      </c>
    </row>
    <row r="11" spans="1:6">
      <c r="A11">
        <v>2</v>
      </c>
      <c r="B11" s="6">
        <v>0.37233846369154522</v>
      </c>
      <c r="C11" s="6">
        <v>0.3312669575088561</v>
      </c>
      <c r="D11" s="6">
        <v>0.30388112326303451</v>
      </c>
      <c r="E11" s="6">
        <v>0.15286815646253341</v>
      </c>
      <c r="F11" t="s">
        <v>271</v>
      </c>
    </row>
    <row r="12" spans="1:6">
      <c r="A12">
        <v>3</v>
      </c>
      <c r="B12" s="6">
        <v>0.34744292221840484</v>
      </c>
      <c r="C12" s="6">
        <v>0.36166070575832776</v>
      </c>
      <c r="D12" s="6">
        <v>0.31311466055014292</v>
      </c>
      <c r="E12" s="6">
        <v>0.15395170889867421</v>
      </c>
      <c r="F12" t="s">
        <v>271</v>
      </c>
    </row>
    <row r="13" spans="1:6">
      <c r="A13">
        <v>4</v>
      </c>
      <c r="B13" s="6">
        <v>0.37581036640043175</v>
      </c>
      <c r="C13" s="6">
        <v>0.33093099514031893</v>
      </c>
      <c r="D13" s="6">
        <v>0.30354664632530892</v>
      </c>
      <c r="E13" s="6">
        <v>0.15341940082292849</v>
      </c>
      <c r="F13" t="s">
        <v>271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5"/>
  <sheetViews>
    <sheetView workbookViewId="0"/>
  </sheetViews>
  <sheetFormatPr defaultRowHeight="14.25"/>
  <cols>
    <col min="2" max="2" width="26" customWidth="1"/>
    <col min="3" max="10" width="16" customWidth="1"/>
  </cols>
  <sheetData>
    <row r="1" spans="1:11" ht="15">
      <c r="A1" s="14" t="s">
        <v>244</v>
      </c>
      <c r="B1" s="14" t="s">
        <v>141</v>
      </c>
      <c r="C1" s="14" t="s">
        <v>272</v>
      </c>
      <c r="D1" s="14" t="s">
        <v>273</v>
      </c>
      <c r="E1" s="14" t="s">
        <v>274</v>
      </c>
      <c r="F1" s="14" t="s">
        <v>275</v>
      </c>
      <c r="G1" s="14" t="s">
        <v>247</v>
      </c>
      <c r="H1" s="14" t="s">
        <v>248</v>
      </c>
      <c r="I1" s="14" t="s">
        <v>249</v>
      </c>
      <c r="J1" s="14" t="s">
        <v>250</v>
      </c>
      <c r="K1" s="14" t="s">
        <v>251</v>
      </c>
    </row>
    <row r="2" spans="1:11">
      <c r="A2">
        <v>0</v>
      </c>
      <c r="B2" t="s">
        <v>148</v>
      </c>
      <c r="C2" s="6">
        <v>0.72083558056974861</v>
      </c>
      <c r="D2" s="6">
        <v>1.4118883906806254E-2</v>
      </c>
      <c r="E2" s="6">
        <v>0.90140473978742253</v>
      </c>
      <c r="F2" s="6">
        <v>4.5115813508306134E-3</v>
      </c>
      <c r="G2" s="6">
        <v>0.89784300841864539</v>
      </c>
      <c r="H2" s="6">
        <v>4.1578663672559024E-3</v>
      </c>
      <c r="I2" s="6">
        <v>0.56619262782084401</v>
      </c>
      <c r="J2" s="6">
        <v>6.9160924049061741E-3</v>
      </c>
      <c r="K2">
        <v>5</v>
      </c>
    </row>
    <row r="3" spans="1:11">
      <c r="A3">
        <v>1</v>
      </c>
      <c r="B3" t="s">
        <v>150</v>
      </c>
      <c r="C3" s="6">
        <v>0.21666696257479626</v>
      </c>
      <c r="D3" s="6">
        <v>2.5837490658951197E-2</v>
      </c>
      <c r="E3" s="6">
        <v>0.23759498613325583</v>
      </c>
      <c r="F3" s="6">
        <v>5.832730896647121E-2</v>
      </c>
      <c r="G3" s="6">
        <v>0.16307880542136738</v>
      </c>
      <c r="H3" s="6">
        <v>3.2393721144493251E-2</v>
      </c>
      <c r="I3" s="6">
        <v>6.2241306732858812E-2</v>
      </c>
      <c r="J3" s="6">
        <v>9.0597539115199483E-3</v>
      </c>
      <c r="K3">
        <v>5</v>
      </c>
    </row>
    <row r="4" spans="1:11">
      <c r="A4">
        <v>2</v>
      </c>
      <c r="B4" t="s">
        <v>151</v>
      </c>
      <c r="C4" s="6">
        <v>0.27919540616924871</v>
      </c>
      <c r="D4" s="6">
        <v>5.5147451053917815E-2</v>
      </c>
      <c r="E4" s="6">
        <v>0.15891461960960218</v>
      </c>
      <c r="F4" s="6">
        <v>2.2275248783663871E-2</v>
      </c>
      <c r="G4" s="6">
        <v>0.11211059567364114</v>
      </c>
      <c r="H4" s="6">
        <v>1.4929743101843224E-2</v>
      </c>
      <c r="I4" s="6">
        <v>3.8268234680892188E-2</v>
      </c>
      <c r="J4" s="6">
        <v>2.5297169160964491E-3</v>
      </c>
      <c r="K4">
        <v>5</v>
      </c>
    </row>
    <row r="5" spans="1:11">
      <c r="A5">
        <v>3</v>
      </c>
      <c r="B5" t="s">
        <v>152</v>
      </c>
      <c r="C5" s="6">
        <v>0.75482409069746326</v>
      </c>
      <c r="D5" s="6">
        <v>1.4641874761151729E-2</v>
      </c>
      <c r="E5" s="6">
        <v>0.90512632478632482</v>
      </c>
      <c r="F5" s="6">
        <v>9.7459145599568062E-3</v>
      </c>
      <c r="G5" s="6">
        <v>0.91668493666378381</v>
      </c>
      <c r="H5" s="6">
        <v>5.515671980303157E-3</v>
      </c>
      <c r="I5" s="6">
        <v>0.6265422068636719</v>
      </c>
      <c r="J5" s="6">
        <v>5.5175834759515702E-3</v>
      </c>
      <c r="K5">
        <v>5</v>
      </c>
    </row>
    <row r="6" spans="1:11">
      <c r="A6">
        <v>4</v>
      </c>
      <c r="B6" t="s">
        <v>153</v>
      </c>
      <c r="C6" s="6">
        <v>0.35639288665036944</v>
      </c>
      <c r="D6" s="6">
        <v>4.8052909601529664E-2</v>
      </c>
      <c r="E6" s="6">
        <v>0.42632210526315789</v>
      </c>
      <c r="F6" s="6">
        <v>4.3245100342132504E-2</v>
      </c>
      <c r="G6" s="6">
        <v>0.36121626992522071</v>
      </c>
      <c r="H6" s="6">
        <v>2.235040625447671E-2</v>
      </c>
      <c r="I6" s="6">
        <v>0.13801095710027192</v>
      </c>
      <c r="J6" s="6">
        <v>1.7676761786344235E-2</v>
      </c>
      <c r="K6">
        <v>5</v>
      </c>
    </row>
    <row r="7" spans="1:11">
      <c r="A7">
        <v>5</v>
      </c>
      <c r="B7" t="s">
        <v>154</v>
      </c>
      <c r="C7" s="6">
        <v>0.32418455197180429</v>
      </c>
      <c r="D7" s="6">
        <v>2.2092166597467908E-2</v>
      </c>
      <c r="E7" s="6">
        <v>0.19553457308565791</v>
      </c>
      <c r="F7" s="6">
        <v>4.2842403516360178E-2</v>
      </c>
      <c r="G7" s="6">
        <v>0.19830957929328835</v>
      </c>
      <c r="H7" s="6">
        <v>2.7429997306193415E-2</v>
      </c>
      <c r="I7" s="6">
        <v>8.4092019579564109E-2</v>
      </c>
      <c r="J7" s="6">
        <v>1.5359548867419319E-2</v>
      </c>
      <c r="K7">
        <v>5</v>
      </c>
    </row>
    <row r="8" spans="1:11">
      <c r="A8">
        <v>6</v>
      </c>
      <c r="B8" t="s">
        <v>155</v>
      </c>
      <c r="C8" s="6">
        <v>0.36808524224227679</v>
      </c>
      <c r="D8" s="6">
        <v>7.4152638368153598E-2</v>
      </c>
      <c r="E8" s="6">
        <v>0.26797682208625562</v>
      </c>
      <c r="F8" s="6">
        <v>4.4678705165721443E-2</v>
      </c>
      <c r="G8" s="6">
        <v>0.25519817313926479</v>
      </c>
      <c r="H8" s="6">
        <v>2.1278579462255299E-2</v>
      </c>
      <c r="I8" s="6">
        <v>9.2709839323744436E-2</v>
      </c>
      <c r="J8" s="6">
        <v>8.679789925181515E-3</v>
      </c>
      <c r="K8">
        <v>5</v>
      </c>
    </row>
    <row r="9" spans="1:11">
      <c r="A9">
        <v>7</v>
      </c>
      <c r="B9" t="s">
        <v>156</v>
      </c>
      <c r="C9" s="6">
        <v>0.28764029775558603</v>
      </c>
      <c r="D9" s="6">
        <v>2.627387997693767E-2</v>
      </c>
      <c r="E9" s="6">
        <v>0.26053993803957776</v>
      </c>
      <c r="F9" s="6">
        <v>1.354086725905459E-2</v>
      </c>
      <c r="G9" s="6">
        <v>0.19264825175968506</v>
      </c>
      <c r="H9" s="6">
        <v>1.3747065951449059E-2</v>
      </c>
      <c r="I9" s="6">
        <v>7.6736499981076692E-2</v>
      </c>
      <c r="J9" s="6">
        <v>5.1306118895033748E-3</v>
      </c>
      <c r="K9">
        <v>5</v>
      </c>
    </row>
    <row r="10" spans="1:11">
      <c r="A10">
        <v>8</v>
      </c>
      <c r="B10" t="s">
        <v>157</v>
      </c>
      <c r="C10" s="6">
        <v>0.37814523811249184</v>
      </c>
      <c r="D10" s="6">
        <v>4.379164682708829E-2</v>
      </c>
      <c r="E10" s="6">
        <v>0.22036808404693864</v>
      </c>
      <c r="F10" s="6">
        <v>2.3084939811711894E-2</v>
      </c>
      <c r="G10" s="6">
        <v>0.19954159177931524</v>
      </c>
      <c r="H10" s="6">
        <v>1.7749177088288486E-2</v>
      </c>
      <c r="I10" s="6">
        <v>8.3768634896345992E-2</v>
      </c>
      <c r="J10" s="6">
        <v>1.030010355884234E-2</v>
      </c>
      <c r="K10">
        <v>5</v>
      </c>
    </row>
    <row r="11" spans="1:11">
      <c r="A11">
        <v>9</v>
      </c>
      <c r="B11" t="s">
        <v>158</v>
      </c>
      <c r="C11" s="6">
        <v>0.18517672241008637</v>
      </c>
      <c r="D11" s="6">
        <v>6.8125230468330578E-2</v>
      </c>
      <c r="E11" s="6">
        <v>4.5120512820512819E-2</v>
      </c>
      <c r="F11" s="6">
        <v>1.5961830910718039E-2</v>
      </c>
      <c r="G11" s="6">
        <v>4.3534772093261814E-2</v>
      </c>
      <c r="H11" s="6">
        <v>1.3027686826818798E-2</v>
      </c>
      <c r="I11" s="6">
        <v>1.4876543636286084E-2</v>
      </c>
      <c r="J11" s="6">
        <v>5.0470252090652635E-3</v>
      </c>
      <c r="K11">
        <v>5</v>
      </c>
    </row>
    <row r="12" spans="1:11">
      <c r="A12">
        <v>10</v>
      </c>
      <c r="B12" t="s">
        <v>159</v>
      </c>
      <c r="C12" s="6">
        <v>0.30567734880062902</v>
      </c>
      <c r="D12" s="6">
        <v>3.208772921640772E-2</v>
      </c>
      <c r="E12" s="6">
        <v>0.42658918842522148</v>
      </c>
      <c r="F12" s="6">
        <v>7.5984002298501762E-3</v>
      </c>
      <c r="G12" s="6">
        <v>0.28173099234617627</v>
      </c>
      <c r="H12" s="6">
        <v>2.5240690543898756E-2</v>
      </c>
      <c r="I12" s="6">
        <v>0.11301868988669324</v>
      </c>
      <c r="J12" s="6">
        <v>9.0192012297247229E-3</v>
      </c>
      <c r="K12">
        <v>5</v>
      </c>
    </row>
    <row r="13" spans="1:11">
      <c r="A13">
        <v>11</v>
      </c>
      <c r="B13" t="s">
        <v>160</v>
      </c>
      <c r="C13" s="6">
        <v>0.35329958469990363</v>
      </c>
      <c r="D13" s="6">
        <v>2.6096805569702463E-2</v>
      </c>
      <c r="E13" s="6">
        <v>0.16957460413773429</v>
      </c>
      <c r="F13" s="6">
        <v>2.4221568020717777E-2</v>
      </c>
      <c r="G13" s="6">
        <v>0.16834131126823393</v>
      </c>
      <c r="H13" s="6">
        <v>1.5049423232312195E-2</v>
      </c>
      <c r="I13" s="6">
        <v>5.3104729295627394E-2</v>
      </c>
      <c r="J13" s="6">
        <v>4.3953488373227149E-3</v>
      </c>
      <c r="K13">
        <v>5</v>
      </c>
    </row>
    <row r="14" spans="1:11">
      <c r="A14">
        <v>12</v>
      </c>
      <c r="B14" t="s">
        <v>161</v>
      </c>
      <c r="C14" s="6">
        <v>0.28403541813750127</v>
      </c>
      <c r="D14" s="6">
        <v>4.4224151468803E-2</v>
      </c>
      <c r="E14" s="6">
        <v>0.30871732604289004</v>
      </c>
      <c r="F14" s="6">
        <v>3.8597778873459096E-2</v>
      </c>
      <c r="G14" s="6">
        <v>0.26258538437772555</v>
      </c>
      <c r="H14" s="6">
        <v>2.7683008568930211E-2</v>
      </c>
      <c r="I14" s="6">
        <v>0.11147231497493187</v>
      </c>
      <c r="J14" s="6">
        <v>7.3877097731506894E-3</v>
      </c>
      <c r="K14">
        <v>5</v>
      </c>
    </row>
    <row r="15" spans="1:11">
      <c r="A15">
        <v>13</v>
      </c>
      <c r="B15" t="s">
        <v>162</v>
      </c>
      <c r="C15" s="6">
        <v>0.30566326422374523</v>
      </c>
      <c r="D15" s="6">
        <v>2.1713367921244321E-2</v>
      </c>
      <c r="E15" s="6">
        <v>0.2776681995194995</v>
      </c>
      <c r="F15" s="6">
        <v>1.6181575073356411E-2</v>
      </c>
      <c r="G15" s="6">
        <v>0.2228605649632677</v>
      </c>
      <c r="H15" s="6">
        <v>1.066319495786024E-2</v>
      </c>
      <c r="I15" s="6">
        <v>7.6596068347488916E-2</v>
      </c>
      <c r="J15" s="6">
        <v>2.1399556087538288E-3</v>
      </c>
      <c r="K15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6" width="25" customWidth="1"/>
  </cols>
  <sheetData>
    <row r="1" spans="1:6" ht="27.95" customHeight="1">
      <c r="A1" s="15" t="s">
        <v>140</v>
      </c>
      <c r="B1" s="15" t="s">
        <v>32</v>
      </c>
      <c r="C1" s="15" t="s">
        <v>276</v>
      </c>
      <c r="D1" s="16" t="s">
        <v>277</v>
      </c>
      <c r="E1" s="16" t="s">
        <v>278</v>
      </c>
      <c r="F1" s="16" t="s">
        <v>279</v>
      </c>
    </row>
    <row r="2" spans="1:6">
      <c r="A2" t="s">
        <v>23</v>
      </c>
      <c r="B2" t="s">
        <v>280</v>
      </c>
      <c r="C2" t="s">
        <v>281</v>
      </c>
      <c r="D2" t="s">
        <v>282</v>
      </c>
      <c r="E2" t="s">
        <v>283</v>
      </c>
      <c r="F2" t="s">
        <v>284</v>
      </c>
    </row>
    <row r="3" spans="1:6">
      <c r="A3" t="s">
        <v>9</v>
      </c>
      <c r="B3" t="s">
        <v>280</v>
      </c>
      <c r="C3" t="s">
        <v>285</v>
      </c>
      <c r="D3" t="s">
        <v>282</v>
      </c>
      <c r="E3" t="s">
        <v>283</v>
      </c>
      <c r="F3" t="s">
        <v>284</v>
      </c>
    </row>
    <row r="4" spans="1:6">
      <c r="A4" t="s">
        <v>18</v>
      </c>
      <c r="B4">
        <v>0</v>
      </c>
      <c r="C4" t="s">
        <v>86</v>
      </c>
      <c r="D4" t="s">
        <v>286</v>
      </c>
      <c r="E4" t="s">
        <v>287</v>
      </c>
      <c r="F4" t="s">
        <v>288</v>
      </c>
    </row>
    <row r="5" spans="1:6">
      <c r="A5" t="s">
        <v>25</v>
      </c>
      <c r="B5">
        <v>0</v>
      </c>
      <c r="C5" t="s">
        <v>93</v>
      </c>
      <c r="D5" t="s">
        <v>286</v>
      </c>
      <c r="E5" t="s">
        <v>287</v>
      </c>
      <c r="F5" t="s">
        <v>288</v>
      </c>
    </row>
    <row r="6" spans="1:6">
      <c r="A6" t="s">
        <v>26</v>
      </c>
      <c r="B6">
        <v>0</v>
      </c>
      <c r="C6" t="s">
        <v>95</v>
      </c>
      <c r="D6" t="s">
        <v>286</v>
      </c>
      <c r="E6" t="s">
        <v>287</v>
      </c>
      <c r="F6" t="s">
        <v>288</v>
      </c>
    </row>
    <row r="7" spans="1:6">
      <c r="A7" t="s">
        <v>15</v>
      </c>
      <c r="B7">
        <v>4</v>
      </c>
      <c r="C7" t="s">
        <v>289</v>
      </c>
      <c r="D7" t="s">
        <v>290</v>
      </c>
      <c r="E7" t="s">
        <v>291</v>
      </c>
      <c r="F7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01_MODELS</vt:lpstr>
      <vt:lpstr>02_RUNS</vt:lpstr>
      <vt:lpstr>03_SUMMARY</vt:lpstr>
      <vt:lpstr>04_KD_COMPARE</vt:lpstr>
      <vt:lpstr>05_PER_CLASS</vt:lpstr>
      <vt:lpstr>00_README</vt:lpstr>
      <vt:lpstr>06_SLIDE_TABLE</vt:lpstr>
      <vt:lpstr>07_NEW_CSV_RUNS</vt:lpstr>
      <vt:lpstr>08_YOLO11n_CLASS_SUMMARY</vt:lpstr>
      <vt:lpstr>09_YOLO11n_SEEDS</vt:lpstr>
      <vt:lpstr>10_YOLO11n_5SEED_SUMMARY</vt:lpstr>
      <vt:lpstr>11_YOLO11n_CLASS_5SEEDS</vt:lpstr>
      <vt:lpstr>12_SEED_AUDIT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 Jau</cp:lastModifiedBy>
  <dcterms:modified xsi:type="dcterms:W3CDTF">2026-10-12T04:03:34Z</dcterms:modified>
</cp:coreProperties>
</file>